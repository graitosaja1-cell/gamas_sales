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2026 new\"/>
    </mc:Choice>
  </mc:AlternateContent>
  <xr:revisionPtr revIDLastSave="0" documentId="13_ncr:1_{29074F4D-98D9-49F5-B633-D0CB77EA132F}" xr6:coauthVersionLast="47" xr6:coauthVersionMax="47" xr10:uidLastSave="{00000000-0000-0000-0000-000000000000}"/>
  <bookViews>
    <workbookView xWindow="-120" yWindow="-120" windowWidth="21840" windowHeight="13140" firstSheet="7" activeTab="16" xr2:uid="{398B3DEF-8E9B-45BC-A2AD-D0E240B42735}"/>
  </bookViews>
  <sheets>
    <sheet name="01-05" sheetId="1" r:id="rId1"/>
    <sheet name="02-05" sheetId="3" r:id="rId2"/>
    <sheet name="04-05" sheetId="4" r:id="rId3"/>
    <sheet name="05-05" sheetId="5" r:id="rId4"/>
    <sheet name="06-05" sheetId="6" r:id="rId5"/>
    <sheet name="07-05" sheetId="7" r:id="rId6"/>
    <sheet name="08-05" sheetId="8" r:id="rId7"/>
    <sheet name="09-05" sheetId="9" r:id="rId8"/>
    <sheet name="11-05" sheetId="11" r:id="rId9"/>
    <sheet name="12-05" sheetId="12" r:id="rId10"/>
    <sheet name="13-05" sheetId="13" r:id="rId11"/>
    <sheet name="14-05" sheetId="14" r:id="rId12"/>
    <sheet name="15-05" sheetId="15" r:id="rId13"/>
    <sheet name="16-05" sheetId="16" r:id="rId14"/>
    <sheet name="18-05" sheetId="17" r:id="rId15"/>
    <sheet name="19-05" sheetId="10" r:id="rId16"/>
    <sheet name="20-05" sheetId="19" r:id="rId17"/>
    <sheet name="Sheet1" sheetId="18" r:id="rId18"/>
  </sheets>
  <definedNames>
    <definedName name="_xlnm.Print_Area" localSheetId="12">'15-05'!$B$2:$N$77</definedName>
    <definedName name="_xlnm.Print_Area" localSheetId="13">'16-05'!$B$1:$N$82</definedName>
    <definedName name="_xlnm.Print_Area" localSheetId="14">'18-05'!$B$2:$O$104</definedName>
    <definedName name="_xlnm.Print_Area" localSheetId="15">'19-05'!$B$2:$O$82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4" i="19" l="1"/>
  <c r="M86" i="19"/>
  <c r="L19" i="19"/>
  <c r="L21" i="19" s="1"/>
  <c r="L20" i="19"/>
  <c r="L18" i="19"/>
  <c r="J10" i="19"/>
  <c r="J11" i="19"/>
  <c r="J21" i="19" s="1"/>
  <c r="J12" i="19"/>
  <c r="J13" i="19"/>
  <c r="J14" i="19"/>
  <c r="J15" i="19"/>
  <c r="J16" i="19"/>
  <c r="J17" i="19"/>
  <c r="J9" i="19"/>
  <c r="L38" i="19"/>
  <c r="L44" i="19" s="1"/>
  <c r="L39" i="19"/>
  <c r="L40" i="19"/>
  <c r="L41" i="19"/>
  <c r="L42" i="19"/>
  <c r="L43" i="19"/>
  <c r="L37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23" i="19"/>
  <c r="L58" i="19"/>
  <c r="L59" i="19"/>
  <c r="L60" i="19"/>
  <c r="L61" i="19"/>
  <c r="L63" i="19" s="1"/>
  <c r="L62" i="19"/>
  <c r="L57" i="19"/>
  <c r="J47" i="19"/>
  <c r="J48" i="19"/>
  <c r="J49" i="19"/>
  <c r="J50" i="19"/>
  <c r="J51" i="19"/>
  <c r="J52" i="19"/>
  <c r="J53" i="19"/>
  <c r="J54" i="19"/>
  <c r="J55" i="19"/>
  <c r="J56" i="19"/>
  <c r="J46" i="19"/>
  <c r="L73" i="19"/>
  <c r="J72" i="19"/>
  <c r="J74" i="19" s="1"/>
  <c r="J77" i="19"/>
  <c r="J78" i="19"/>
  <c r="J79" i="19"/>
  <c r="J80" i="19"/>
  <c r="J81" i="19"/>
  <c r="J82" i="19"/>
  <c r="J76" i="19"/>
  <c r="L86" i="19"/>
  <c r="K86" i="19"/>
  <c r="L74" i="19"/>
  <c r="K74" i="19"/>
  <c r="K66" i="19"/>
  <c r="M63" i="19"/>
  <c r="K63" i="19"/>
  <c r="J63" i="19"/>
  <c r="M44" i="19"/>
  <c r="K44" i="19"/>
  <c r="M21" i="19"/>
  <c r="K21" i="19"/>
  <c r="O21" i="19" l="1"/>
  <c r="J44" i="19"/>
  <c r="O44" i="19" s="1"/>
  <c r="L88" i="19"/>
  <c r="O74" i="19"/>
  <c r="J86" i="19"/>
  <c r="J88" i="19" s="1"/>
  <c r="J66" i="19"/>
  <c r="K88" i="19"/>
  <c r="K92" i="19" s="1"/>
  <c r="N94" i="19" s="1"/>
  <c r="L66" i="19"/>
  <c r="L92" i="19" s="1"/>
  <c r="J92" i="19"/>
  <c r="O63" i="19"/>
  <c r="O86" i="19"/>
  <c r="O88" i="19" l="1"/>
  <c r="O66" i="19"/>
  <c r="N95" i="19"/>
  <c r="O94" i="19" s="1"/>
  <c r="J60" i="10" l="1"/>
  <c r="L59" i="10"/>
  <c r="J58" i="10"/>
  <c r="J57" i="10"/>
  <c r="J56" i="10"/>
  <c r="L53" i="10" l="1"/>
  <c r="L61" i="10" s="1"/>
  <c r="J55" i="10"/>
  <c r="J52" i="10"/>
  <c r="L41" i="10"/>
  <c r="L42" i="10"/>
  <c r="L40" i="10"/>
  <c r="J37" i="10"/>
  <c r="J38" i="10"/>
  <c r="J39" i="10"/>
  <c r="J36" i="10"/>
  <c r="L32" i="10"/>
  <c r="L33" i="10"/>
  <c r="L31" i="10"/>
  <c r="J25" i="10"/>
  <c r="J26" i="10"/>
  <c r="J27" i="10"/>
  <c r="J28" i="10"/>
  <c r="J29" i="10"/>
  <c r="J30" i="10"/>
  <c r="J24" i="10"/>
  <c r="L18" i="10"/>
  <c r="L19" i="10"/>
  <c r="L20" i="10"/>
  <c r="L21" i="10"/>
  <c r="L17" i="10"/>
  <c r="J9" i="10"/>
  <c r="J11" i="10"/>
  <c r="J12" i="10"/>
  <c r="J14" i="10"/>
  <c r="J15" i="10"/>
  <c r="N95" i="17"/>
  <c r="N94" i="17"/>
  <c r="L86" i="18"/>
  <c r="O86" i="18" s="1"/>
  <c r="K86" i="18"/>
  <c r="K88" i="18" s="1"/>
  <c r="J86" i="18"/>
  <c r="J88" i="18" s="1"/>
  <c r="L74" i="18"/>
  <c r="O74" i="18" s="1"/>
  <c r="K74" i="18"/>
  <c r="J74" i="18"/>
  <c r="L60" i="18"/>
  <c r="M57" i="18"/>
  <c r="L57" i="18"/>
  <c r="K57" i="18"/>
  <c r="K60" i="18" s="1"/>
  <c r="J57" i="18"/>
  <c r="J60" i="18" s="1"/>
  <c r="M41" i="18"/>
  <c r="L41" i="18"/>
  <c r="K41" i="18"/>
  <c r="J41" i="18"/>
  <c r="O41" i="18" s="1"/>
  <c r="M24" i="18"/>
  <c r="L24" i="18"/>
  <c r="K24" i="18"/>
  <c r="J24" i="18"/>
  <c r="O24" i="18" s="1"/>
  <c r="K65" i="10"/>
  <c r="L65" i="10"/>
  <c r="K61" i="10"/>
  <c r="M43" i="10"/>
  <c r="K43" i="10"/>
  <c r="M34" i="10"/>
  <c r="K34" i="10"/>
  <c r="M22" i="10"/>
  <c r="K22" i="10"/>
  <c r="L43" i="10" l="1"/>
  <c r="J34" i="10"/>
  <c r="L34" i="10"/>
  <c r="J43" i="10"/>
  <c r="O43" i="10" s="1"/>
  <c r="J61" i="10"/>
  <c r="O61" i="10" s="1"/>
  <c r="J65" i="10"/>
  <c r="O60" i="18"/>
  <c r="J92" i="18"/>
  <c r="N95" i="18" s="1"/>
  <c r="K92" i="18"/>
  <c r="N94" i="18" s="1"/>
  <c r="O88" i="18"/>
  <c r="L88" i="18"/>
  <c r="L92" i="18" s="1"/>
  <c r="O57" i="18"/>
  <c r="L67" i="10"/>
  <c r="K67" i="10"/>
  <c r="K46" i="10"/>
  <c r="J22" i="10"/>
  <c r="L22" i="10"/>
  <c r="O65" i="10"/>
  <c r="O34" i="10" l="1"/>
  <c r="L46" i="10"/>
  <c r="L71" i="10" s="1"/>
  <c r="J67" i="10"/>
  <c r="O67" i="10" s="1"/>
  <c r="J46" i="10"/>
  <c r="O46" i="10" s="1"/>
  <c r="K71" i="10"/>
  <c r="N74" i="10" s="1"/>
  <c r="O94" i="18"/>
  <c r="O22" i="10"/>
  <c r="J71" i="10" l="1"/>
  <c r="N73" i="10" s="1"/>
  <c r="O73" i="10" s="1"/>
  <c r="K86" i="17"/>
  <c r="J84" i="17"/>
  <c r="J77" i="17"/>
  <c r="J78" i="17"/>
  <c r="J79" i="17"/>
  <c r="J76" i="17"/>
  <c r="K74" i="17"/>
  <c r="J67" i="17"/>
  <c r="J68" i="17"/>
  <c r="J69" i="17"/>
  <c r="J70" i="17"/>
  <c r="J71" i="17"/>
  <c r="J66" i="17"/>
  <c r="M57" i="17"/>
  <c r="J44" i="17"/>
  <c r="J45" i="17"/>
  <c r="J46" i="17"/>
  <c r="J47" i="17"/>
  <c r="J48" i="17"/>
  <c r="J49" i="17"/>
  <c r="J43" i="17"/>
  <c r="M41" i="17"/>
  <c r="J27" i="17"/>
  <c r="J28" i="17"/>
  <c r="J29" i="17"/>
  <c r="J30" i="17"/>
  <c r="J31" i="17"/>
  <c r="J26" i="17"/>
  <c r="M24" i="17"/>
  <c r="J10" i="17"/>
  <c r="J11" i="17"/>
  <c r="J12" i="17"/>
  <c r="J13" i="17"/>
  <c r="J14" i="17"/>
  <c r="J15" i="17"/>
  <c r="J9" i="17"/>
  <c r="K88" i="17" l="1"/>
  <c r="J86" i="17"/>
  <c r="J57" i="17"/>
  <c r="J74" i="17"/>
  <c r="J41" i="17"/>
  <c r="J24" i="17"/>
  <c r="J88" i="17" l="1"/>
  <c r="J60" i="17"/>
  <c r="J92" i="17" s="1"/>
  <c r="L56" i="17" l="1"/>
  <c r="L17" i="17"/>
  <c r="L18" i="17"/>
  <c r="L19" i="17"/>
  <c r="L20" i="17"/>
  <c r="L21" i="17"/>
  <c r="L22" i="17"/>
  <c r="L23" i="17"/>
  <c r="L33" i="17"/>
  <c r="L34" i="17"/>
  <c r="L35" i="17"/>
  <c r="L36" i="17"/>
  <c r="L37" i="17"/>
  <c r="L38" i="17"/>
  <c r="L39" i="17"/>
  <c r="L40" i="17"/>
  <c r="L32" i="17"/>
  <c r="L51" i="17"/>
  <c r="L52" i="17"/>
  <c r="L53" i="17"/>
  <c r="L54" i="17"/>
  <c r="L55" i="17"/>
  <c r="L50" i="17"/>
  <c r="L85" i="17"/>
  <c r="L82" i="17"/>
  <c r="L83" i="17"/>
  <c r="L81" i="17"/>
  <c r="L73" i="17"/>
  <c r="L24" i="17" l="1"/>
  <c r="L86" i="17" l="1"/>
  <c r="L74" i="17"/>
  <c r="O74" i="17" s="1"/>
  <c r="L57" i="17"/>
  <c r="K57" i="17"/>
  <c r="O57" i="17" s="1"/>
  <c r="L41" i="17"/>
  <c r="K41" i="17"/>
  <c r="K24" i="17"/>
  <c r="O24" i="17" s="1"/>
  <c r="K57" i="16"/>
  <c r="K62" i="16"/>
  <c r="K12" i="16"/>
  <c r="K11" i="16"/>
  <c r="J9" i="16"/>
  <c r="J10" i="16"/>
  <c r="J8" i="16"/>
  <c r="K27" i="16"/>
  <c r="K28" i="16"/>
  <c r="K29" i="16"/>
  <c r="K30" i="16"/>
  <c r="K25" i="16"/>
  <c r="J16" i="16"/>
  <c r="J17" i="16"/>
  <c r="J18" i="16"/>
  <c r="J19" i="16"/>
  <c r="J20" i="16"/>
  <c r="J21" i="16"/>
  <c r="J22" i="16"/>
  <c r="J23" i="16"/>
  <c r="J24" i="16"/>
  <c r="J15" i="16"/>
  <c r="K44" i="16"/>
  <c r="K45" i="16"/>
  <c r="K46" i="16"/>
  <c r="K47" i="16"/>
  <c r="K43" i="16"/>
  <c r="J34" i="16"/>
  <c r="J35" i="16"/>
  <c r="J36" i="16"/>
  <c r="J37" i="16"/>
  <c r="J38" i="16"/>
  <c r="J39" i="16"/>
  <c r="J40" i="16"/>
  <c r="J33" i="16"/>
  <c r="K58" i="16"/>
  <c r="J59" i="16"/>
  <c r="J60" i="16"/>
  <c r="J61" i="16"/>
  <c r="J56" i="16"/>
  <c r="J66" i="16"/>
  <c r="J67" i="16"/>
  <c r="J68" i="16"/>
  <c r="J65" i="16"/>
  <c r="O86" i="17" l="1"/>
  <c r="L88" i="17"/>
  <c r="O88" i="17" s="1"/>
  <c r="O41" i="17"/>
  <c r="L60" i="17"/>
  <c r="K60" i="17"/>
  <c r="J69" i="16"/>
  <c r="K69" i="16"/>
  <c r="K63" i="16"/>
  <c r="J63" i="16"/>
  <c r="K48" i="16"/>
  <c r="J48" i="16"/>
  <c r="K31" i="16"/>
  <c r="J31" i="16"/>
  <c r="K13" i="16"/>
  <c r="J13" i="16"/>
  <c r="O60" i="17" l="1"/>
  <c r="L92" i="17"/>
  <c r="K92" i="17"/>
  <c r="M13" i="16"/>
  <c r="M63" i="16"/>
  <c r="K51" i="16"/>
  <c r="J71" i="16"/>
  <c r="J51" i="16"/>
  <c r="M48" i="16"/>
  <c r="K71" i="16"/>
  <c r="M31" i="16"/>
  <c r="M69" i="16"/>
  <c r="K63" i="15"/>
  <c r="K64" i="15" s="1"/>
  <c r="K11" i="15"/>
  <c r="K12" i="15"/>
  <c r="J8" i="15"/>
  <c r="J9" i="15"/>
  <c r="K25" i="15"/>
  <c r="K26" i="15"/>
  <c r="K28" i="15"/>
  <c r="K24" i="15"/>
  <c r="J16" i="15"/>
  <c r="J17" i="15"/>
  <c r="J18" i="15"/>
  <c r="J19" i="15"/>
  <c r="J21" i="15"/>
  <c r="J22" i="15"/>
  <c r="J23" i="15"/>
  <c r="J15" i="15"/>
  <c r="K42" i="15"/>
  <c r="K43" i="15"/>
  <c r="K44" i="15"/>
  <c r="K45" i="15"/>
  <c r="K46" i="15"/>
  <c r="K47" i="15"/>
  <c r="K48" i="15"/>
  <c r="K49" i="15"/>
  <c r="K41" i="15"/>
  <c r="J32" i="15"/>
  <c r="J33" i="15"/>
  <c r="J34" i="15"/>
  <c r="J35" i="15"/>
  <c r="J36" i="15"/>
  <c r="J37" i="15"/>
  <c r="J38" i="15"/>
  <c r="J39" i="15"/>
  <c r="J40" i="15"/>
  <c r="J31" i="15"/>
  <c r="J62" i="15"/>
  <c r="J59" i="15"/>
  <c r="J58" i="15"/>
  <c r="K60" i="15"/>
  <c r="K9" i="14"/>
  <c r="O94" i="17" l="1"/>
  <c r="K74" i="16"/>
  <c r="N71" i="16"/>
  <c r="N51" i="16"/>
  <c r="J74" i="16"/>
  <c r="K29" i="15"/>
  <c r="J13" i="15"/>
  <c r="J29" i="15"/>
  <c r="J50" i="15"/>
  <c r="J64" i="15"/>
  <c r="M64" i="15" s="1"/>
  <c r="K13" i="15"/>
  <c r="M13" i="15" s="1"/>
  <c r="K50" i="15"/>
  <c r="J60" i="15"/>
  <c r="M60" i="15" s="1"/>
  <c r="K66" i="15"/>
  <c r="J61" i="14"/>
  <c r="N74" i="16" l="1"/>
  <c r="M29" i="15"/>
  <c r="M50" i="15"/>
  <c r="J53" i="15"/>
  <c r="J66" i="15"/>
  <c r="K53" i="15"/>
  <c r="N66" i="15"/>
  <c r="K10" i="14"/>
  <c r="J59" i="14"/>
  <c r="J60" i="14"/>
  <c r="J58" i="14"/>
  <c r="K55" i="14"/>
  <c r="K56" i="14" s="1"/>
  <c r="J53" i="14"/>
  <c r="J54" i="14"/>
  <c r="J52" i="14"/>
  <c r="J56" i="14" s="1"/>
  <c r="K40" i="14"/>
  <c r="K41" i="14"/>
  <c r="K42" i="14"/>
  <c r="K43" i="14"/>
  <c r="K39" i="14"/>
  <c r="J33" i="14"/>
  <c r="J34" i="14"/>
  <c r="J35" i="14"/>
  <c r="J36" i="14"/>
  <c r="J37" i="14"/>
  <c r="J38" i="14"/>
  <c r="J32" i="14"/>
  <c r="K24" i="14"/>
  <c r="K25" i="14"/>
  <c r="K26" i="14"/>
  <c r="K27" i="14"/>
  <c r="K28" i="14"/>
  <c r="K29" i="14"/>
  <c r="J14" i="14"/>
  <c r="J15" i="14"/>
  <c r="J16" i="14"/>
  <c r="J18" i="14"/>
  <c r="J19" i="14"/>
  <c r="J20" i="14"/>
  <c r="J21" i="14"/>
  <c r="J23" i="14"/>
  <c r="J13" i="14"/>
  <c r="K62" i="14"/>
  <c r="J11" i="14"/>
  <c r="N53" i="15" l="1"/>
  <c r="J69" i="15"/>
  <c r="K69" i="15"/>
  <c r="N69" i="15" s="1"/>
  <c r="K44" i="14"/>
  <c r="J44" i="14"/>
  <c r="K11" i="14"/>
  <c r="M11" i="14" s="1"/>
  <c r="K30" i="14"/>
  <c r="J30" i="14"/>
  <c r="J47" i="14" s="1"/>
  <c r="J62" i="14"/>
  <c r="M62" i="14" s="1"/>
  <c r="M56" i="14"/>
  <c r="M44" i="14"/>
  <c r="K64" i="14"/>
  <c r="K47" i="14" l="1"/>
  <c r="M30" i="14"/>
  <c r="N64" i="14"/>
  <c r="J64" i="14"/>
  <c r="J67" i="14" s="1"/>
  <c r="K67" i="14"/>
  <c r="N47" i="14"/>
  <c r="N67" i="14" l="1"/>
  <c r="J46" i="13" l="1"/>
  <c r="K16" i="13" l="1"/>
  <c r="K17" i="13"/>
  <c r="K15" i="13"/>
  <c r="J9" i="13"/>
  <c r="J10" i="13"/>
  <c r="J11" i="13"/>
  <c r="J12" i="13"/>
  <c r="J13" i="13"/>
  <c r="J8" i="13"/>
  <c r="K27" i="13"/>
  <c r="K28" i="13"/>
  <c r="K29" i="13"/>
  <c r="K30" i="13"/>
  <c r="K31" i="13"/>
  <c r="K32" i="13"/>
  <c r="K33" i="13"/>
  <c r="J22" i="13"/>
  <c r="J23" i="13"/>
  <c r="J24" i="13"/>
  <c r="J25" i="13"/>
  <c r="J26" i="13"/>
  <c r="J21" i="13"/>
  <c r="K44" i="13"/>
  <c r="K45" i="13"/>
  <c r="J37" i="13"/>
  <c r="J38" i="13"/>
  <c r="J39" i="13"/>
  <c r="J40" i="13"/>
  <c r="J41" i="13"/>
  <c r="J42" i="13"/>
  <c r="J43" i="13"/>
  <c r="J36" i="13"/>
  <c r="J54" i="13"/>
  <c r="J57" i="13" s="1"/>
  <c r="K63" i="13"/>
  <c r="K62" i="13"/>
  <c r="J60" i="13"/>
  <c r="J61" i="13"/>
  <c r="J59" i="13"/>
  <c r="K57" i="13"/>
  <c r="K65" i="13" l="1"/>
  <c r="J34" i="13"/>
  <c r="J19" i="13"/>
  <c r="K19" i="13"/>
  <c r="M19" i="13" s="1"/>
  <c r="K34" i="13"/>
  <c r="K46" i="13"/>
  <c r="J49" i="13"/>
  <c r="K67" i="13"/>
  <c r="J65" i="13"/>
  <c r="J67" i="13" s="1"/>
  <c r="M57" i="13"/>
  <c r="M34" i="13" l="1"/>
  <c r="M46" i="13"/>
  <c r="K49" i="13"/>
  <c r="K70" i="13" s="1"/>
  <c r="J70" i="13"/>
  <c r="M65" i="13"/>
  <c r="N67" i="13" s="1"/>
  <c r="N49" i="13" l="1"/>
  <c r="N70" i="13"/>
  <c r="K53" i="12" l="1"/>
  <c r="H35" i="12" l="1"/>
  <c r="K34" i="12"/>
  <c r="J39" i="12"/>
  <c r="J40" i="12"/>
  <c r="J41" i="12"/>
  <c r="J42" i="12"/>
  <c r="J38" i="12"/>
  <c r="K25" i="12"/>
  <c r="K26" i="12"/>
  <c r="K27" i="12"/>
  <c r="K28" i="12"/>
  <c r="K30" i="12"/>
  <c r="K31" i="12"/>
  <c r="K32" i="12"/>
  <c r="K33" i="12"/>
  <c r="K24" i="12"/>
  <c r="J18" i="12"/>
  <c r="J19" i="12"/>
  <c r="J20" i="12"/>
  <c r="J21" i="12"/>
  <c r="J22" i="12"/>
  <c r="J23" i="12"/>
  <c r="K15" i="12"/>
  <c r="K12" i="12"/>
  <c r="J9" i="12"/>
  <c r="J10" i="12"/>
  <c r="J11" i="12"/>
  <c r="J8" i="12"/>
  <c r="K58" i="12"/>
  <c r="K59" i="12" s="1"/>
  <c r="J57" i="12"/>
  <c r="J56" i="12"/>
  <c r="J52" i="12"/>
  <c r="J51" i="12"/>
  <c r="K54" i="12"/>
  <c r="K43" i="12"/>
  <c r="K16" i="12" l="1"/>
  <c r="J54" i="12"/>
  <c r="M54" i="12" s="1"/>
  <c r="K36" i="12"/>
  <c r="J43" i="12"/>
  <c r="M43" i="12" s="1"/>
  <c r="J36" i="12"/>
  <c r="J16" i="12"/>
  <c r="J59" i="12"/>
  <c r="M59" i="12" s="1"/>
  <c r="K61" i="12"/>
  <c r="M16" i="12" l="1"/>
  <c r="J61" i="12"/>
  <c r="K46" i="12"/>
  <c r="K64" i="12" s="1"/>
  <c r="M36" i="12"/>
  <c r="J46" i="12"/>
  <c r="N61" i="12"/>
  <c r="J64" i="12" l="1"/>
  <c r="N46" i="12"/>
  <c r="N64" i="12"/>
  <c r="K52" i="11" l="1"/>
  <c r="K37" i="11" l="1"/>
  <c r="K36" i="11"/>
  <c r="J34" i="11"/>
  <c r="J35" i="11"/>
  <c r="J33" i="11"/>
  <c r="K26" i="11"/>
  <c r="K27" i="11"/>
  <c r="K28" i="11"/>
  <c r="K29" i="11"/>
  <c r="K30" i="11"/>
  <c r="K25" i="11"/>
  <c r="J21" i="11"/>
  <c r="J22" i="11"/>
  <c r="J23" i="11"/>
  <c r="J24" i="11"/>
  <c r="J20" i="11"/>
  <c r="K16" i="11"/>
  <c r="K17" i="11"/>
  <c r="J9" i="11"/>
  <c r="J10" i="11"/>
  <c r="J11" i="11"/>
  <c r="J12" i="11"/>
  <c r="J15" i="11"/>
  <c r="K54" i="11"/>
  <c r="J51" i="11"/>
  <c r="J53" i="11"/>
  <c r="J50" i="11"/>
  <c r="J47" i="11"/>
  <c r="J46" i="11"/>
  <c r="K55" i="11" l="1"/>
  <c r="J55" i="11"/>
  <c r="K48" i="11"/>
  <c r="J48" i="11"/>
  <c r="K38" i="11"/>
  <c r="J38" i="11"/>
  <c r="K31" i="11"/>
  <c r="J31" i="11"/>
  <c r="K18" i="11"/>
  <c r="J18" i="11"/>
  <c r="J36" i="9"/>
  <c r="K27" i="9"/>
  <c r="J23" i="9"/>
  <c r="J24" i="9"/>
  <c r="J25" i="9"/>
  <c r="J26" i="9"/>
  <c r="J22" i="9"/>
  <c r="K17" i="9"/>
  <c r="K18" i="9"/>
  <c r="K19" i="9"/>
  <c r="J16" i="9"/>
  <c r="K11" i="9"/>
  <c r="K12" i="9"/>
  <c r="K13" i="9"/>
  <c r="J9" i="9"/>
  <c r="K70" i="8"/>
  <c r="M48" i="11" l="1"/>
  <c r="J57" i="11"/>
  <c r="M18" i="11"/>
  <c r="K41" i="11"/>
  <c r="J41" i="11"/>
  <c r="M38" i="11"/>
  <c r="K57" i="11"/>
  <c r="M31" i="11"/>
  <c r="M55" i="11"/>
  <c r="N57" i="11" s="1"/>
  <c r="K60" i="11" l="1"/>
  <c r="N41" i="11"/>
  <c r="J60" i="11"/>
  <c r="J64" i="8"/>
  <c r="J63" i="8"/>
  <c r="J62" i="8"/>
  <c r="J61" i="8"/>
  <c r="J60" i="8"/>
  <c r="J59" i="8"/>
  <c r="J58" i="8"/>
  <c r="J57" i="8"/>
  <c r="N60" i="11" l="1"/>
  <c r="K55" i="8"/>
  <c r="K54" i="8"/>
  <c r="J56" i="8"/>
  <c r="J52" i="8"/>
  <c r="K69" i="8"/>
  <c r="K72" i="8" s="1"/>
  <c r="J71" i="8"/>
  <c r="J68" i="8"/>
  <c r="K39" i="8"/>
  <c r="K40" i="8"/>
  <c r="K41" i="8"/>
  <c r="K42" i="8"/>
  <c r="K43" i="8"/>
  <c r="K38" i="8"/>
  <c r="J34" i="8"/>
  <c r="J35" i="8"/>
  <c r="J36" i="8"/>
  <c r="J37" i="8"/>
  <c r="J33" i="8"/>
  <c r="K25" i="8"/>
  <c r="K26" i="8"/>
  <c r="K28" i="8"/>
  <c r="K29" i="8"/>
  <c r="K30" i="8"/>
  <c r="K24" i="8"/>
  <c r="J22" i="8"/>
  <c r="J23" i="8"/>
  <c r="J21" i="8"/>
  <c r="K16" i="8"/>
  <c r="K17" i="8"/>
  <c r="K18" i="8"/>
  <c r="K15" i="8"/>
  <c r="J9" i="8"/>
  <c r="J10" i="8"/>
  <c r="J11" i="8"/>
  <c r="J12" i="8"/>
  <c r="J13" i="8"/>
  <c r="J14" i="8"/>
  <c r="J8" i="8"/>
  <c r="K44" i="9"/>
  <c r="K46" i="9" s="1"/>
  <c r="J44" i="9"/>
  <c r="K39" i="9"/>
  <c r="J39" i="9"/>
  <c r="M39" i="9" s="1"/>
  <c r="K28" i="9"/>
  <c r="J28" i="9"/>
  <c r="K20" i="9"/>
  <c r="J20" i="9"/>
  <c r="K14" i="9"/>
  <c r="J14" i="9"/>
  <c r="J46" i="9" l="1"/>
  <c r="J31" i="9"/>
  <c r="K31" i="9"/>
  <c r="M28" i="9"/>
  <c r="M14" i="9"/>
  <c r="K66" i="8"/>
  <c r="K74" i="8" s="1"/>
  <c r="K19" i="8"/>
  <c r="J31" i="8"/>
  <c r="J72" i="8"/>
  <c r="M72" i="8" s="1"/>
  <c r="J66" i="8"/>
  <c r="M66" i="8" s="1"/>
  <c r="K31" i="8"/>
  <c r="J44" i="8"/>
  <c r="K44" i="8"/>
  <c r="K47" i="8" s="1"/>
  <c r="J19" i="8"/>
  <c r="M19" i="8" s="1"/>
  <c r="M20" i="9"/>
  <c r="M44" i="9"/>
  <c r="N46" i="9" s="1"/>
  <c r="J49" i="9" l="1"/>
  <c r="N31" i="9"/>
  <c r="K49" i="9"/>
  <c r="M31" i="8"/>
  <c r="J47" i="8"/>
  <c r="N47" i="8" s="1"/>
  <c r="K77" i="8"/>
  <c r="J74" i="8"/>
  <c r="N74" i="8"/>
  <c r="M44" i="8"/>
  <c r="N49" i="9" l="1"/>
  <c r="J77" i="8"/>
  <c r="N77" i="8" s="1"/>
  <c r="K41" i="7" l="1"/>
  <c r="K40" i="7"/>
  <c r="K60" i="7"/>
  <c r="J67" i="7" l="1"/>
  <c r="J56" i="7"/>
  <c r="K55" i="7"/>
  <c r="J54" i="7"/>
  <c r="J53" i="7"/>
  <c r="J52" i="7"/>
  <c r="J51" i="7"/>
  <c r="K66" i="7" l="1"/>
  <c r="K65" i="7"/>
  <c r="J61" i="7"/>
  <c r="J62" i="7"/>
  <c r="J63" i="7"/>
  <c r="J64" i="7"/>
  <c r="J59" i="7"/>
  <c r="J50" i="7"/>
  <c r="K39" i="7"/>
  <c r="K38" i="7"/>
  <c r="J33" i="7"/>
  <c r="J34" i="7"/>
  <c r="J36" i="7"/>
  <c r="J37" i="7"/>
  <c r="K25" i="7"/>
  <c r="K26" i="7"/>
  <c r="K27" i="7"/>
  <c r="K28" i="7"/>
  <c r="K29" i="7"/>
  <c r="K30" i="7"/>
  <c r="J20" i="7"/>
  <c r="J21" i="7"/>
  <c r="J22" i="7"/>
  <c r="J19" i="7"/>
  <c r="K13" i="7"/>
  <c r="K14" i="7"/>
  <c r="K15" i="7"/>
  <c r="K16" i="7"/>
  <c r="J9" i="7"/>
  <c r="J10" i="7"/>
  <c r="J11" i="7"/>
  <c r="J12" i="7"/>
  <c r="J8" i="7"/>
  <c r="J42" i="7" l="1"/>
  <c r="K42" i="7"/>
  <c r="J51" i="6" l="1"/>
  <c r="J42" i="6" l="1"/>
  <c r="J43" i="6"/>
  <c r="J44" i="6"/>
  <c r="J45" i="6"/>
  <c r="J46" i="6"/>
  <c r="J47" i="6"/>
  <c r="J48" i="6"/>
  <c r="J49" i="6"/>
  <c r="J50" i="6"/>
  <c r="J41" i="6"/>
  <c r="K37" i="6"/>
  <c r="K39" i="6" s="1"/>
  <c r="K29" i="6"/>
  <c r="J27" i="6"/>
  <c r="J26" i="6"/>
  <c r="K21" i="6"/>
  <c r="K22" i="6"/>
  <c r="K23" i="6"/>
  <c r="J20" i="6"/>
  <c r="J19" i="6"/>
  <c r="K15" i="6"/>
  <c r="K16" i="6"/>
  <c r="K14" i="6"/>
  <c r="J9" i="6"/>
  <c r="J10" i="6"/>
  <c r="J11" i="6"/>
  <c r="J12" i="6"/>
  <c r="K24" i="6" l="1"/>
  <c r="J29" i="6"/>
  <c r="K68" i="7" l="1"/>
  <c r="J68" i="7"/>
  <c r="K57" i="7"/>
  <c r="J57" i="7"/>
  <c r="K31" i="7"/>
  <c r="J31" i="7"/>
  <c r="K17" i="7"/>
  <c r="J17" i="7"/>
  <c r="M57" i="7" l="1"/>
  <c r="J45" i="7"/>
  <c r="M17" i="7"/>
  <c r="J70" i="7"/>
  <c r="K45" i="7"/>
  <c r="K70" i="7"/>
  <c r="M42" i="7"/>
  <c r="M31" i="7"/>
  <c r="M68" i="7"/>
  <c r="N70" i="7" l="1"/>
  <c r="J73" i="7"/>
  <c r="K73" i="7"/>
  <c r="N45" i="7"/>
  <c r="N73" i="7" l="1"/>
  <c r="J39" i="5"/>
  <c r="J40" i="5"/>
  <c r="J41" i="5"/>
  <c r="J38" i="5"/>
  <c r="J34" i="5" l="1"/>
  <c r="J35" i="5"/>
  <c r="J36" i="5"/>
  <c r="J33" i="5"/>
  <c r="J44" i="5" s="1"/>
  <c r="K37" i="5"/>
  <c r="K18" i="5"/>
  <c r="K20" i="5" s="1"/>
  <c r="K13" i="5"/>
  <c r="K14" i="5"/>
  <c r="K15" i="5"/>
  <c r="K12" i="5"/>
  <c r="K8" i="5"/>
  <c r="K54" i="6"/>
  <c r="J54" i="6"/>
  <c r="J39" i="6"/>
  <c r="J24" i="6"/>
  <c r="K17" i="6"/>
  <c r="J17" i="6"/>
  <c r="J59" i="4"/>
  <c r="K15" i="4"/>
  <c r="J56" i="6" l="1"/>
  <c r="M29" i="6"/>
  <c r="K56" i="6"/>
  <c r="M39" i="6"/>
  <c r="M24" i="6"/>
  <c r="J32" i="6"/>
  <c r="K32" i="6"/>
  <c r="K59" i="6" s="1"/>
  <c r="M17" i="6"/>
  <c r="M54" i="6"/>
  <c r="K42" i="4"/>
  <c r="J59" i="6" l="1"/>
  <c r="N59" i="6" s="1"/>
  <c r="N56" i="6"/>
  <c r="N32" i="6"/>
  <c r="K55" i="4"/>
  <c r="J46" i="4"/>
  <c r="J47" i="4"/>
  <c r="J48" i="4"/>
  <c r="J49" i="4"/>
  <c r="J50" i="4"/>
  <c r="J51" i="4"/>
  <c r="J52" i="4"/>
  <c r="J53" i="4"/>
  <c r="J54" i="4"/>
  <c r="J56" i="4"/>
  <c r="J45" i="4"/>
  <c r="K39" i="4"/>
  <c r="K40" i="4"/>
  <c r="K41" i="4"/>
  <c r="K38" i="4"/>
  <c r="J32" i="4"/>
  <c r="J33" i="4"/>
  <c r="J34" i="4"/>
  <c r="J35" i="4"/>
  <c r="J36" i="4"/>
  <c r="J37" i="4"/>
  <c r="J31" i="4"/>
  <c r="K21" i="4" l="1"/>
  <c r="K23" i="4" s="1"/>
  <c r="K17" i="4"/>
  <c r="K11" i="4"/>
  <c r="K8" i="4"/>
  <c r="K44" i="5" l="1"/>
  <c r="K31" i="5"/>
  <c r="J31" i="5"/>
  <c r="J20" i="5"/>
  <c r="M20" i="5" s="1"/>
  <c r="K16" i="5"/>
  <c r="J16" i="5"/>
  <c r="K10" i="5"/>
  <c r="J10" i="5"/>
  <c r="K35" i="3"/>
  <c r="J36" i="3"/>
  <c r="J46" i="5" l="1"/>
  <c r="J23" i="5"/>
  <c r="K46" i="5"/>
  <c r="M31" i="5"/>
  <c r="M10" i="5"/>
  <c r="K23" i="5"/>
  <c r="M16" i="5"/>
  <c r="M44" i="5"/>
  <c r="K45" i="3"/>
  <c r="J40" i="3"/>
  <c r="J41" i="3"/>
  <c r="J42" i="3"/>
  <c r="J43" i="3"/>
  <c r="J44" i="3"/>
  <c r="J39" i="3"/>
  <c r="J33" i="3"/>
  <c r="J34" i="3"/>
  <c r="J32" i="3"/>
  <c r="J49" i="5" l="1"/>
  <c r="K49" i="5"/>
  <c r="N46" i="5"/>
  <c r="N23" i="5"/>
  <c r="K59" i="4"/>
  <c r="K43" i="4"/>
  <c r="J43" i="4"/>
  <c r="J23" i="4"/>
  <c r="K19" i="4"/>
  <c r="J19" i="4"/>
  <c r="K12" i="4"/>
  <c r="J12" i="4"/>
  <c r="K22" i="3"/>
  <c r="K13" i="3"/>
  <c r="K14" i="3"/>
  <c r="K15" i="3"/>
  <c r="K16" i="3"/>
  <c r="K17" i="3"/>
  <c r="K18" i="3"/>
  <c r="K19" i="3"/>
  <c r="K12" i="3"/>
  <c r="K9" i="3"/>
  <c r="K8" i="3"/>
  <c r="K46" i="3"/>
  <c r="J46" i="3"/>
  <c r="K37" i="3"/>
  <c r="J37" i="3"/>
  <c r="J24" i="3"/>
  <c r="J20" i="3"/>
  <c r="J10" i="3"/>
  <c r="N49" i="5" l="1"/>
  <c r="M12" i="4"/>
  <c r="M43" i="4"/>
  <c r="M23" i="4"/>
  <c r="J61" i="4"/>
  <c r="J26" i="4"/>
  <c r="K61" i="4"/>
  <c r="K26" i="4"/>
  <c r="K10" i="3"/>
  <c r="K24" i="3"/>
  <c r="K20" i="3"/>
  <c r="K27" i="3" s="1"/>
  <c r="J27" i="3"/>
  <c r="M19" i="4"/>
  <c r="M59" i="4"/>
  <c r="K48" i="3"/>
  <c r="M37" i="3"/>
  <c r="M24" i="3"/>
  <c r="J48" i="3"/>
  <c r="J51" i="3" s="1"/>
  <c r="M10" i="3"/>
  <c r="M20" i="3"/>
  <c r="M46" i="3"/>
  <c r="N61" i="4" l="1"/>
  <c r="K64" i="4"/>
  <c r="J64" i="4"/>
  <c r="N26" i="4"/>
  <c r="N27" i="3"/>
  <c r="N48" i="3"/>
  <c r="K51" i="3"/>
  <c r="N51" i="3" s="1"/>
  <c r="N64" i="4" l="1"/>
  <c r="K40" i="1"/>
  <c r="K39" i="1"/>
  <c r="J36" i="1"/>
  <c r="J37" i="1"/>
  <c r="J38" i="1"/>
  <c r="J35" i="1"/>
  <c r="J30" i="1" l="1"/>
  <c r="J31" i="1"/>
  <c r="J32" i="1"/>
  <c r="J29" i="1"/>
  <c r="K8" i="1"/>
  <c r="K9" i="1"/>
  <c r="K10" i="1"/>
  <c r="K14" i="1"/>
  <c r="K15" i="1"/>
  <c r="K16" i="1"/>
  <c r="K17" i="1"/>
  <c r="K13" i="1"/>
  <c r="K20" i="1"/>
  <c r="K41" i="1" l="1"/>
  <c r="J41" i="1"/>
  <c r="K33" i="1"/>
  <c r="J33" i="1"/>
  <c r="J21" i="1"/>
  <c r="K21" i="1"/>
  <c r="J18" i="1"/>
  <c r="K18" i="1"/>
  <c r="J11" i="1"/>
  <c r="K11" i="1"/>
  <c r="M11" i="1" l="1"/>
  <c r="J24" i="1"/>
  <c r="J43" i="1"/>
  <c r="M41" i="1"/>
  <c r="K43" i="1"/>
  <c r="K24" i="1"/>
  <c r="M21" i="1"/>
  <c r="M33" i="1"/>
  <c r="M18" i="1"/>
  <c r="N24" i="1" l="1"/>
  <c r="J46" i="1"/>
  <c r="K46" i="1"/>
  <c r="N43" i="1"/>
  <c r="N46" i="1" l="1"/>
</calcChain>
</file>

<file path=xl/sharedStrings.xml><?xml version="1.0" encoding="utf-8"?>
<sst xmlns="http://schemas.openxmlformats.org/spreadsheetml/2006/main" count="3683" uniqueCount="1298">
  <si>
    <t>LAPORAN UANG MASUK HARIAN</t>
  </si>
  <si>
    <t>MINYAK &amp; RUPA-RUPA</t>
  </si>
  <si>
    <t>PIUTANG TEMPO</t>
  </si>
  <si>
    <t>NO</t>
  </si>
  <si>
    <t>SALES</t>
  </si>
  <si>
    <t>NO FAKTUR</t>
  </si>
  <si>
    <t>NAMA TOKO</t>
  </si>
  <si>
    <t>ALAMAT</t>
  </si>
  <si>
    <t>TGL FAKTUR</t>
  </si>
  <si>
    <t>JT</t>
  </si>
  <si>
    <t>TAGIHAN</t>
  </si>
  <si>
    <t>PEMBAYARAN</t>
  </si>
  <si>
    <t>TOTAL</t>
  </si>
  <si>
    <t>GRAND TOTAL</t>
  </si>
  <si>
    <t>MINYAK</t>
  </si>
  <si>
    <t>RUPA-RUPA</t>
  </si>
  <si>
    <t>KET</t>
  </si>
  <si>
    <t>RAJU</t>
  </si>
  <si>
    <t>011001260400021</t>
  </si>
  <si>
    <t>TOKO SINAR BARU</t>
  </si>
  <si>
    <t>JATISARI</t>
  </si>
  <si>
    <t>JOSSY</t>
  </si>
  <si>
    <t>HAFID</t>
  </si>
  <si>
    <t>UANG MASUK DARI PIUTANG</t>
  </si>
  <si>
    <t>CASH</t>
  </si>
  <si>
    <t>DROPPING/SALES</t>
  </si>
  <si>
    <t>NOMINAL FAKTUR</t>
  </si>
  <si>
    <t xml:space="preserve">TOTAL </t>
  </si>
  <si>
    <t>UANG MASUK CASH</t>
  </si>
  <si>
    <t>TOTAL UANG MASUK</t>
  </si>
  <si>
    <t>MENGETAHUI</t>
  </si>
  <si>
    <t>ADMIN</t>
  </si>
  <si>
    <t>SUPERVISOR</t>
  </si>
  <si>
    <t>HEAD OFFICE</t>
  </si>
  <si>
    <t>OWNER</t>
  </si>
  <si>
    <t>(                         )</t>
  </si>
  <si>
    <t>(                        )</t>
  </si>
  <si>
    <t>(                          )</t>
  </si>
  <si>
    <t>JUMAT 01/05/2026</t>
  </si>
  <si>
    <t>BOCOR</t>
  </si>
  <si>
    <t>011001260400222</t>
  </si>
  <si>
    <t>TOKO SUKRON</t>
  </si>
  <si>
    <t>AYAM PUTIH</t>
  </si>
  <si>
    <t>011001260400223</t>
  </si>
  <si>
    <t>TOKO CITRA JAYA</t>
  </si>
  <si>
    <t>011001260400027</t>
  </si>
  <si>
    <t>TOKO AMAN MAKMUR</t>
  </si>
  <si>
    <t>WAJASARI</t>
  </si>
  <si>
    <t>011001260400028</t>
  </si>
  <si>
    <t>TOKO AL FAZA</t>
  </si>
  <si>
    <t>SIDOMULYO</t>
  </si>
  <si>
    <t>PASAR WEDI</t>
  </si>
  <si>
    <t>011001260400224</t>
  </si>
  <si>
    <t>TOKO NASIHA</t>
  </si>
  <si>
    <t>PASAR GAMBLOK</t>
  </si>
  <si>
    <t>011001260400226</t>
  </si>
  <si>
    <t>TOKO SAYOTO</t>
  </si>
  <si>
    <t>011001260400229</t>
  </si>
  <si>
    <t>TOKO CAHAYA</t>
  </si>
  <si>
    <t>011001260400230</t>
  </si>
  <si>
    <t>TOKO SUPRIYANTO</t>
  </si>
  <si>
    <t>WANASIGRA</t>
  </si>
  <si>
    <t>0110032604500024</t>
  </si>
  <si>
    <t>TOKO UCOK</t>
  </si>
  <si>
    <t>GG SINDORO</t>
  </si>
  <si>
    <t>011003260500021</t>
  </si>
  <si>
    <t>TOKO SULIS</t>
  </si>
  <si>
    <t>PASAR GOMBONG</t>
  </si>
  <si>
    <t>011003260500022</t>
  </si>
  <si>
    <t>TOKO BU JANNAH</t>
  </si>
  <si>
    <t>011003260500027</t>
  </si>
  <si>
    <t>TOKO WANDI</t>
  </si>
  <si>
    <t>GOMBONG</t>
  </si>
  <si>
    <t>SUGIHWARAS</t>
  </si>
  <si>
    <t>UD RIRIN</t>
  </si>
  <si>
    <t>BANYURATA</t>
  </si>
  <si>
    <t>TOKO ITA</t>
  </si>
  <si>
    <t>TRIKARSO</t>
  </si>
  <si>
    <t>TOKO BU JOKO 2</t>
  </si>
  <si>
    <t>TOKO ALFIN MART</t>
  </si>
  <si>
    <t>011003260500017</t>
  </si>
  <si>
    <t>011003260500044</t>
  </si>
  <si>
    <t>011003260500038</t>
  </si>
  <si>
    <t>011003260500013</t>
  </si>
  <si>
    <t>011003260500007</t>
  </si>
  <si>
    <t xml:space="preserve"> SINAR BAROKAH</t>
  </si>
  <si>
    <t>011003260500015</t>
  </si>
  <si>
    <t>ZEIN(HAFID)</t>
  </si>
  <si>
    <t>ALIM(JOSSY)</t>
  </si>
  <si>
    <t>LUNAS</t>
  </si>
  <si>
    <t xml:space="preserve"> </t>
  </si>
  <si>
    <t>SABTU 02/05/2026</t>
  </si>
  <si>
    <t>011001260400127</t>
  </si>
  <si>
    <t>TOKO BARU JAYA</t>
  </si>
  <si>
    <t>011001260400232</t>
  </si>
  <si>
    <t>TOKO SUMI</t>
  </si>
  <si>
    <t>ARGOPENI</t>
  </si>
  <si>
    <t>011001260400036</t>
  </si>
  <si>
    <t>TOKO KELOR MAS</t>
  </si>
  <si>
    <t>JOGOMERTAN</t>
  </si>
  <si>
    <t>011001260400038</t>
  </si>
  <si>
    <t>SUMBER REJEKI</t>
  </si>
  <si>
    <t>011001260400225</t>
  </si>
  <si>
    <t>TOKO DIDI</t>
  </si>
  <si>
    <t>TANJUNGSARI</t>
  </si>
  <si>
    <t>011001260400234</t>
  </si>
  <si>
    <t>TOKO GALUH</t>
  </si>
  <si>
    <t>SOMA</t>
  </si>
  <si>
    <t>011001260400235</t>
  </si>
  <si>
    <t>TOKO JB MERTAN</t>
  </si>
  <si>
    <t>LOGANDU</t>
  </si>
  <si>
    <t>011001260400238</t>
  </si>
  <si>
    <t>TOKO DARYONO</t>
  </si>
  <si>
    <t>KALIREJO</t>
  </si>
  <si>
    <t>011001260400240</t>
  </si>
  <si>
    <t>TOKO YUMNA</t>
  </si>
  <si>
    <t>GLONTOR</t>
  </si>
  <si>
    <t>011001260400244</t>
  </si>
  <si>
    <t>TOKO SUBUR</t>
  </si>
  <si>
    <t>KARANGANYAR</t>
  </si>
  <si>
    <t>011001260400233</t>
  </si>
  <si>
    <t>TOKO AURA</t>
  </si>
  <si>
    <t>JLADRI</t>
  </si>
  <si>
    <t>011003260500076</t>
  </si>
  <si>
    <t>WONOSIGRA</t>
  </si>
  <si>
    <t>011003260500080</t>
  </si>
  <si>
    <t>TOKO DESTY</t>
  </si>
  <si>
    <t>KENTENG</t>
  </si>
  <si>
    <t>011003260500081</t>
  </si>
  <si>
    <t>TOKO WATI</t>
  </si>
  <si>
    <t>011003260500051</t>
  </si>
  <si>
    <t>TOKO UMI</t>
  </si>
  <si>
    <t>011003260500056</t>
  </si>
  <si>
    <t>TOKO PUTRA KEMBAR</t>
  </si>
  <si>
    <t>011003260500063</t>
  </si>
  <si>
    <t>SETROJENAR</t>
  </si>
  <si>
    <t>011003260500065</t>
  </si>
  <si>
    <t>TOKO KIOS PATRA</t>
  </si>
  <si>
    <t>WALUYO</t>
  </si>
  <si>
    <t>011003260500067</t>
  </si>
  <si>
    <t>TOKO YANTI</t>
  </si>
  <si>
    <t>BULUSPESANTREN</t>
  </si>
  <si>
    <t>011003260500068</t>
  </si>
  <si>
    <t>TOKO SHOLEKHUDIN</t>
  </si>
  <si>
    <t>SANGUBANYU</t>
  </si>
  <si>
    <t>011003260500072</t>
  </si>
  <si>
    <t>ALIM(RAJU)</t>
  </si>
  <si>
    <t>011003260500089</t>
  </si>
  <si>
    <t>011003260500095</t>
  </si>
  <si>
    <t>TOKO KARTI</t>
  </si>
  <si>
    <t>SENIN 04/05/2026</t>
  </si>
  <si>
    <t>011001260400248</t>
  </si>
  <si>
    <t>TOKO TASMINO</t>
  </si>
  <si>
    <t>PASAR TLOGO</t>
  </si>
  <si>
    <t>011001260400249</t>
  </si>
  <si>
    <t>TOKO MULYO</t>
  </si>
  <si>
    <t>011001260400253</t>
  </si>
  <si>
    <t>TOKO RAJU</t>
  </si>
  <si>
    <t>F51215019889</t>
  </si>
  <si>
    <t>TOKO MIE KANG BEJO</t>
  </si>
  <si>
    <t>SRUWENG</t>
  </si>
  <si>
    <t>011001260400050</t>
  </si>
  <si>
    <t>TOKO DAYEM</t>
  </si>
  <si>
    <t>KELIREJA</t>
  </si>
  <si>
    <t>TOKO PAK MUL</t>
  </si>
  <si>
    <t>PASAR SOMA</t>
  </si>
  <si>
    <t>011001260400245</t>
  </si>
  <si>
    <t>TOKO KIRNO</t>
  </si>
  <si>
    <t>KARANGJAMBU</t>
  </si>
  <si>
    <t>011001260400247</t>
  </si>
  <si>
    <t>TISZA MART</t>
  </si>
  <si>
    <t>KEJAWANG</t>
  </si>
  <si>
    <t>011003260500094</t>
  </si>
  <si>
    <t>TOKO JOSSY</t>
  </si>
  <si>
    <t>PANJANGSARI</t>
  </si>
  <si>
    <t>011001260400242</t>
  </si>
  <si>
    <t>TOKO ANI</t>
  </si>
  <si>
    <t>JINTUNG</t>
  </si>
  <si>
    <t>011003260500131</t>
  </si>
  <si>
    <t>TOKO GOTIN</t>
  </si>
  <si>
    <t>KARANGBOLONG</t>
  </si>
  <si>
    <t>011003260500132</t>
  </si>
  <si>
    <t>TOKO BU ANWAR</t>
  </si>
  <si>
    <t>011003260500133</t>
  </si>
  <si>
    <t>TOKO WIWI</t>
  </si>
  <si>
    <t>011003260500134</t>
  </si>
  <si>
    <t>TOKO BU MARSIO</t>
  </si>
  <si>
    <t>011003260500137</t>
  </si>
  <si>
    <t>TOKO RATNA</t>
  </si>
  <si>
    <t>PASIR</t>
  </si>
  <si>
    <t>011003260500140</t>
  </si>
  <si>
    <t>TOKO SINAR MART</t>
  </si>
  <si>
    <t>KEDALEMAN PURING</t>
  </si>
  <si>
    <t>011003260500141</t>
  </si>
  <si>
    <t>TOKO MUSLIMAT</t>
  </si>
  <si>
    <t>CANDI</t>
  </si>
  <si>
    <t>011003260500145</t>
  </si>
  <si>
    <t>011003260500150</t>
  </si>
  <si>
    <t>011003260500155</t>
  </si>
  <si>
    <t>011003260500151</t>
  </si>
  <si>
    <t>TOKO SAKA</t>
  </si>
  <si>
    <t>PURWOGONDO</t>
  </si>
  <si>
    <t>ZEIN (HAFID)</t>
  </si>
  <si>
    <t>011003260500103</t>
  </si>
  <si>
    <t>POJOK/GUNARSO</t>
  </si>
  <si>
    <t>PASAR KARANGGAYAM</t>
  </si>
  <si>
    <t>011003260500108</t>
  </si>
  <si>
    <t>TOKO SLAMET</t>
  </si>
  <si>
    <t>011003260500109</t>
  </si>
  <si>
    <t>011003260500114</t>
  </si>
  <si>
    <t>TOKO FAIZAL</t>
  </si>
  <si>
    <t>PAGEBANGAN</t>
  </si>
  <si>
    <t>011003260500115</t>
  </si>
  <si>
    <t>TOKO DEWI</t>
  </si>
  <si>
    <t>011003260500116</t>
  </si>
  <si>
    <t>TOKO TITIS JAYA</t>
  </si>
  <si>
    <t>011003260500118</t>
  </si>
  <si>
    <t>SEVEN ELEVEN</t>
  </si>
  <si>
    <t>CLAPAR</t>
  </si>
  <si>
    <t>011003260500117</t>
  </si>
  <si>
    <t>SEVEN ELEVEN 2</t>
  </si>
  <si>
    <t>011003260500152</t>
  </si>
  <si>
    <t>TOKO NANO</t>
  </si>
  <si>
    <t>KALIGENDING</t>
  </si>
  <si>
    <t>011003260500153</t>
  </si>
  <si>
    <t>VAROS JAYA</t>
  </si>
  <si>
    <t>MERTAKANDA</t>
  </si>
  <si>
    <t>011003260500120</t>
  </si>
  <si>
    <t>011003260500156</t>
  </si>
  <si>
    <t>TOKO GOTREK</t>
  </si>
  <si>
    <t>SIDOAGUNG</t>
  </si>
  <si>
    <t>011003260500154</t>
  </si>
  <si>
    <t>RS PERMATA MEDIKA</t>
  </si>
  <si>
    <t>KEBUMEN</t>
  </si>
  <si>
    <t>ZEIN(JOSSY)</t>
  </si>
  <si>
    <t>TITIP</t>
  </si>
  <si>
    <t>011001260400106</t>
  </si>
  <si>
    <t>TOKO HASAN</t>
  </si>
  <si>
    <t>TANURAKSAN</t>
  </si>
  <si>
    <t>LUNAS TF</t>
  </si>
  <si>
    <t>011001260400079</t>
  </si>
  <si>
    <t>TOKO JATMIKO</t>
  </si>
  <si>
    <t>SELASA 05/05/2026</t>
  </si>
  <si>
    <t>011001260400061</t>
  </si>
  <si>
    <t>TOKO TOHIRIN</t>
  </si>
  <si>
    <t>PANDANSARI</t>
  </si>
  <si>
    <t>011001260400063</t>
  </si>
  <si>
    <t>TOKO NEVA</t>
  </si>
  <si>
    <t>KRENCENG</t>
  </si>
  <si>
    <t>011001260400165</t>
  </si>
  <si>
    <t>TOKO MELAN</t>
  </si>
  <si>
    <t>PETANAHAN</t>
  </si>
  <si>
    <t>011003260400004</t>
  </si>
  <si>
    <t>TOKO BARJONO</t>
  </si>
  <si>
    <t>JATINEGARA</t>
  </si>
  <si>
    <t>0011003260500194</t>
  </si>
  <si>
    <t>TOKO SURIP</t>
  </si>
  <si>
    <t>AMBAL</t>
  </si>
  <si>
    <t>0011003260500163</t>
  </si>
  <si>
    <t>TOKO ARFA KEMBAR</t>
  </si>
  <si>
    <t>0011003260500172</t>
  </si>
  <si>
    <t>0011003260500175</t>
  </si>
  <si>
    <t>TOKO PUTRI</t>
  </si>
  <si>
    <t>0011003260500211</t>
  </si>
  <si>
    <t>011003260500195</t>
  </si>
  <si>
    <t>TOKO SAMINI</t>
  </si>
  <si>
    <t>PASAR GOLONGAN</t>
  </si>
  <si>
    <t>011003260500196</t>
  </si>
  <si>
    <t>TOKO JAENAL</t>
  </si>
  <si>
    <t>011003260500199</t>
  </si>
  <si>
    <t>TOKO OO</t>
  </si>
  <si>
    <t>DEMANGSARI</t>
  </si>
  <si>
    <t>011003260500203</t>
  </si>
  <si>
    <t>TOKO EVAN JAYA</t>
  </si>
  <si>
    <t>MANGUN WENI</t>
  </si>
  <si>
    <t>011003260500206</t>
  </si>
  <si>
    <t>TOKO SAMIJO</t>
  </si>
  <si>
    <t>RABU 06/05/2026</t>
  </si>
  <si>
    <t>011003260400073</t>
  </si>
  <si>
    <t>TOKO EKI</t>
  </si>
  <si>
    <t>PASAR BOCOR</t>
  </si>
  <si>
    <t>011003260400074</t>
  </si>
  <si>
    <t>TOKO SAHLIL</t>
  </si>
  <si>
    <t>011003260400075</t>
  </si>
  <si>
    <t>FAKIH</t>
  </si>
  <si>
    <t>RANTEWIRINGIN</t>
  </si>
  <si>
    <t>011003260400076</t>
  </si>
  <si>
    <t>TOKO IBU RUM</t>
  </si>
  <si>
    <t>011003260400077</t>
  </si>
  <si>
    <t>TOKO IBU ATUN</t>
  </si>
  <si>
    <t>011003260400079</t>
  </si>
  <si>
    <t>TOKO IRMA</t>
  </si>
  <si>
    <t>WARUNG PRING</t>
  </si>
  <si>
    <t>TOKO ROHANI</t>
  </si>
  <si>
    <t>KUTOWINANGUN</t>
  </si>
  <si>
    <t>011003260400083</t>
  </si>
  <si>
    <t>011003260400033</t>
  </si>
  <si>
    <t>TOKO JP MART</t>
  </si>
  <si>
    <t>POHKUMBANG</t>
  </si>
  <si>
    <t>011003260400059</t>
  </si>
  <si>
    <t>TOKO SISWANTO</t>
  </si>
  <si>
    <t>011003260400008</t>
  </si>
  <si>
    <t>011003260400068</t>
  </si>
  <si>
    <t>TOKO ASIH</t>
  </si>
  <si>
    <t>PASAR KEMIT</t>
  </si>
  <si>
    <t>011003260400069</t>
  </si>
  <si>
    <t>TOKO BU MUJI</t>
  </si>
  <si>
    <t>011003260400087</t>
  </si>
  <si>
    <t>TOKO MARNI</t>
  </si>
  <si>
    <t>PASAR JATIRATA</t>
  </si>
  <si>
    <t>011003260400088</t>
  </si>
  <si>
    <t>TOKO DJONO</t>
  </si>
  <si>
    <t>SELOKERTO</t>
  </si>
  <si>
    <t>011003260500263</t>
  </si>
  <si>
    <t>TOKO 60 (ENAM PULUH)</t>
  </si>
  <si>
    <t>PASAR KUTOWINANGUN</t>
  </si>
  <si>
    <t>011003260500249</t>
  </si>
  <si>
    <t>TOKO SHEILA</t>
  </si>
  <si>
    <t>011003260500250</t>
  </si>
  <si>
    <t>WARUNG MURSA</t>
  </si>
  <si>
    <t>011003260500252</t>
  </si>
  <si>
    <t>TOKO MUSLIH</t>
  </si>
  <si>
    <t>KALITENGAH</t>
  </si>
  <si>
    <t>011003260500254</t>
  </si>
  <si>
    <t>JIO</t>
  </si>
  <si>
    <t>BEJIRUYUNG</t>
  </si>
  <si>
    <t>011003260500255</t>
  </si>
  <si>
    <t>011003260500261</t>
  </si>
  <si>
    <t>TOKO WARAS</t>
  </si>
  <si>
    <t>011003260500228</t>
  </si>
  <si>
    <t>TOKO NURUL</t>
  </si>
  <si>
    <t>011003260500256</t>
  </si>
  <si>
    <t>KARISMA SWALAYAN</t>
  </si>
  <si>
    <t>011003260500238</t>
  </si>
  <si>
    <t>TOKO AL BAROKAH MART</t>
  </si>
  <si>
    <t>KEWANGUNAN</t>
  </si>
  <si>
    <t>011003260500239</t>
  </si>
  <si>
    <t>TOKO SOBARI</t>
  </si>
  <si>
    <t>011003260500264</t>
  </si>
  <si>
    <t>TOKO SEPTI</t>
  </si>
  <si>
    <t>KAMIS 07/05/2026</t>
  </si>
  <si>
    <t>011003260400078</t>
  </si>
  <si>
    <t>TOKO DEASRI</t>
  </si>
  <si>
    <t>PASAR BOCOR BLOK A14</t>
  </si>
  <si>
    <t>011003260400117</t>
  </si>
  <si>
    <t>TOKO INDRI</t>
  </si>
  <si>
    <t>PASAR BENDO</t>
  </si>
  <si>
    <t>011003260400119</t>
  </si>
  <si>
    <t>PASAR PENEKET</t>
  </si>
  <si>
    <t>011003260400136</t>
  </si>
  <si>
    <t>011003260400140</t>
  </si>
  <si>
    <t>TOKO LANDUNG</t>
  </si>
  <si>
    <t>PENEKET AMBAL</t>
  </si>
  <si>
    <t>011003260400123</t>
  </si>
  <si>
    <t>TOKO SUTIMAH</t>
  </si>
  <si>
    <t>BELENGOR KULON</t>
  </si>
  <si>
    <t>011003260400133</t>
  </si>
  <si>
    <t>TOKO OKI/ARETA</t>
  </si>
  <si>
    <t>TOKO PAK WANTO</t>
  </si>
  <si>
    <t>SITI BENTAR</t>
  </si>
  <si>
    <t>011003260400189</t>
  </si>
  <si>
    <t>011003260400053</t>
  </si>
  <si>
    <t>TOKO SIDOMULYO</t>
  </si>
  <si>
    <t>KEMIT</t>
  </si>
  <si>
    <t>011003260400055</t>
  </si>
  <si>
    <t>TOKO KUSNANTO</t>
  </si>
  <si>
    <t>MBODEH</t>
  </si>
  <si>
    <t>011003260400058</t>
  </si>
  <si>
    <t>TOKO MBA NUR</t>
  </si>
  <si>
    <t>011003260400060</t>
  </si>
  <si>
    <t>TOKO SUKARNI</t>
  </si>
  <si>
    <t>011003260400106</t>
  </si>
  <si>
    <t>TOKO SUBROTO</t>
  </si>
  <si>
    <t>GIWANGRETNO</t>
  </si>
  <si>
    <t>011003260400108</t>
  </si>
  <si>
    <t>TOKO CITIR BUAH</t>
  </si>
  <si>
    <t>SIDOARJO</t>
  </si>
  <si>
    <t>011003260400096</t>
  </si>
  <si>
    <t>TOKO IQBAL</t>
  </si>
  <si>
    <t>PENIMBUN</t>
  </si>
  <si>
    <t>011003260400101</t>
  </si>
  <si>
    <t>BAGUS CELL</t>
  </si>
  <si>
    <t>MENGANTI</t>
  </si>
  <si>
    <t>011003260400102</t>
  </si>
  <si>
    <t>TOKO SRC NIKMAH</t>
  </si>
  <si>
    <t>011003260400104</t>
  </si>
  <si>
    <t>TOKO AMIN</t>
  </si>
  <si>
    <t>011003260400105</t>
  </si>
  <si>
    <t>011001260400107</t>
  </si>
  <si>
    <t>TOKO RUKUN SAYUR</t>
  </si>
  <si>
    <t>MANGANTI</t>
  </si>
  <si>
    <t>011003260400287</t>
  </si>
  <si>
    <t>SUMBER MAKMUR</t>
  </si>
  <si>
    <t>BOGANGIN</t>
  </si>
  <si>
    <t>011003260400289</t>
  </si>
  <si>
    <t>TOKO AQILA</t>
  </si>
  <si>
    <t>TAMBAK</t>
  </si>
  <si>
    <t>011003260400291</t>
  </si>
  <si>
    <t>TOKO BANGUN</t>
  </si>
  <si>
    <t>PASAR SUMPIUH</t>
  </si>
  <si>
    <t>011003260400292</t>
  </si>
  <si>
    <t>TOKO RATI</t>
  </si>
  <si>
    <t>WATUAGUNG</t>
  </si>
  <si>
    <t>011003260400293</t>
  </si>
  <si>
    <t>TOKO WAHONO</t>
  </si>
  <si>
    <t>011001260400122</t>
  </si>
  <si>
    <t>TOKO AYU</t>
  </si>
  <si>
    <t>011003260400089</t>
  </si>
  <si>
    <t>TOKO MAIZA</t>
  </si>
  <si>
    <t>PASAR JATIROTO</t>
  </si>
  <si>
    <t>011003260400294</t>
  </si>
  <si>
    <t>011003260500267</t>
  </si>
  <si>
    <t>TOKO MANJA</t>
  </si>
  <si>
    <t>AMBALKUMOLO</t>
  </si>
  <si>
    <t>011003260500281</t>
  </si>
  <si>
    <t>TOKO BU NANI</t>
  </si>
  <si>
    <t>011003260500289</t>
  </si>
  <si>
    <t>TOKO TOHIR</t>
  </si>
  <si>
    <t>011003260500291</t>
  </si>
  <si>
    <t>TOKO NOVAL</t>
  </si>
  <si>
    <t>011003260500293</t>
  </si>
  <si>
    <t>TOKO PAK AHMAD</t>
  </si>
  <si>
    <t>KLAPAGADA 2/7</t>
  </si>
  <si>
    <t>011003260500297</t>
  </si>
  <si>
    <t>011003260500299</t>
  </si>
  <si>
    <t>TOKO LANGGENG</t>
  </si>
  <si>
    <t>011003260500300</t>
  </si>
  <si>
    <t>011003260500326</t>
  </si>
  <si>
    <t>TOKO MITRA</t>
  </si>
  <si>
    <t>011003260500305</t>
  </si>
  <si>
    <t>TOKO MISLAM</t>
  </si>
  <si>
    <t>KRETEG</t>
  </si>
  <si>
    <t>011003260500306</t>
  </si>
  <si>
    <t>011003260500308</t>
  </si>
  <si>
    <t>WONOHARJO</t>
  </si>
  <si>
    <t>011003260500310</t>
  </si>
  <si>
    <t>TOKO LASIO</t>
  </si>
  <si>
    <t>011003260500318</t>
  </si>
  <si>
    <t>011003260500323</t>
  </si>
  <si>
    <t>TOKO AL BAROKAH</t>
  </si>
  <si>
    <t>011003260500309</t>
  </si>
  <si>
    <t>TOKO ADRI</t>
  </si>
  <si>
    <t>JUMAT 08/05/2026</t>
  </si>
  <si>
    <t>011003260400109</t>
  </si>
  <si>
    <t>PUTRA BARU SWALAYAN</t>
  </si>
  <si>
    <t>011003260400113</t>
  </si>
  <si>
    <t>TOKO BU MAR</t>
  </si>
  <si>
    <t>BENER KULON 2/5</t>
  </si>
  <si>
    <t>011003260400143</t>
  </si>
  <si>
    <t>TOKO SILMI</t>
  </si>
  <si>
    <t>011003260400144</t>
  </si>
  <si>
    <t>BUMDES MAPAN 2</t>
  </si>
  <si>
    <t>KARANGSARI</t>
  </si>
  <si>
    <t>011003260400145</t>
  </si>
  <si>
    <t>BUMDES MAPAN 1</t>
  </si>
  <si>
    <t>BUMIREJO</t>
  </si>
  <si>
    <t>011003260400146</t>
  </si>
  <si>
    <t>TOKO UMAT</t>
  </si>
  <si>
    <t>KUTOSARI</t>
  </si>
  <si>
    <t>011003260400184</t>
  </si>
  <si>
    <t>TOKO BU SUSI</t>
  </si>
  <si>
    <t>011001260400114</t>
  </si>
  <si>
    <t>TOKO MINI JAYA</t>
  </si>
  <si>
    <t>011003260400129</t>
  </si>
  <si>
    <t>011003260400131</t>
  </si>
  <si>
    <t>011003260400151</t>
  </si>
  <si>
    <t>011003260400107</t>
  </si>
  <si>
    <t>TOKO BAD SAYUR</t>
  </si>
  <si>
    <t>PASAR KARANGANYAR</t>
  </si>
  <si>
    <t>011001260400228</t>
  </si>
  <si>
    <t>TOKO PRIMA</t>
  </si>
  <si>
    <t>JATIMULYO</t>
  </si>
  <si>
    <t>011003260400103</t>
  </si>
  <si>
    <t>011003260400164</t>
  </si>
  <si>
    <t>MUSTIKA JAYA</t>
  </si>
  <si>
    <t>JEMAJAR</t>
  </si>
  <si>
    <t>011003260400165</t>
  </si>
  <si>
    <t>TOKO HANA SAPTIKO MULYO</t>
  </si>
  <si>
    <t>JL MELES</t>
  </si>
  <si>
    <t>011003260400166</t>
  </si>
  <si>
    <t>TOKO POJOK</t>
  </si>
  <si>
    <t>011003260400168</t>
  </si>
  <si>
    <t>TOKO RATIH</t>
  </si>
  <si>
    <t>011003260400169</t>
  </si>
  <si>
    <t>011003260400171</t>
  </si>
  <si>
    <t>TOKO SARTINI</t>
  </si>
  <si>
    <t>PASAR MERGOSONO</t>
  </si>
  <si>
    <t>011003260400173</t>
  </si>
  <si>
    <t>TOKO SHINTA</t>
  </si>
  <si>
    <t>JLN KARANGBOLONG</t>
  </si>
  <si>
    <t>011003260400175</t>
  </si>
  <si>
    <t>TOKO DARSINAH</t>
  </si>
  <si>
    <t>011003260400182</t>
  </si>
  <si>
    <t>TOKO RUDI</t>
  </si>
  <si>
    <t>011003260400176</t>
  </si>
  <si>
    <t>TOKO AL KARIM</t>
  </si>
  <si>
    <t>011003260400177</t>
  </si>
  <si>
    <t>TOKO PRATAMA</t>
  </si>
  <si>
    <t>BANYUMUDAL</t>
  </si>
  <si>
    <t>011003260400178</t>
  </si>
  <si>
    <t>TOKO SYUKUR</t>
  </si>
  <si>
    <t>011003260400179</t>
  </si>
  <si>
    <t>011003260400180</t>
  </si>
  <si>
    <t>TOKO MARSIH</t>
  </si>
  <si>
    <t>011003260400296</t>
  </si>
  <si>
    <t>011003260500359</t>
  </si>
  <si>
    <t>TOKO YUNI</t>
  </si>
  <si>
    <t>011003260500362</t>
  </si>
  <si>
    <t>TOKO YANI</t>
  </si>
  <si>
    <t>011003260500367</t>
  </si>
  <si>
    <t>011003260500375</t>
  </si>
  <si>
    <t>AL BAROKAH</t>
  </si>
  <si>
    <t>KRETEK</t>
  </si>
  <si>
    <t>011003260500376</t>
  </si>
  <si>
    <t>PUTRA MANDIRI</t>
  </si>
  <si>
    <t>011003260500334</t>
  </si>
  <si>
    <t>TOKO LUCKY</t>
  </si>
  <si>
    <t>BLENGOR WETAN</t>
  </si>
  <si>
    <t>011003260500338</t>
  </si>
  <si>
    <t>011003260500340</t>
  </si>
  <si>
    <t>ANDUNG TK</t>
  </si>
  <si>
    <t>011003260500344</t>
  </si>
  <si>
    <t>011003260500345</t>
  </si>
  <si>
    <t>TOKO KARSIMIN</t>
  </si>
  <si>
    <t>011003260500347</t>
  </si>
  <si>
    <t>TOKO HABIB</t>
  </si>
  <si>
    <t>011003260500348</t>
  </si>
  <si>
    <t>TOKO SUWITO</t>
  </si>
  <si>
    <t>011003260500353</t>
  </si>
  <si>
    <t>MAJU MAKMUR</t>
  </si>
  <si>
    <t>011003260500354</t>
  </si>
  <si>
    <t>011003260500356</t>
  </si>
  <si>
    <t>SINAR BAROKAH</t>
  </si>
  <si>
    <t>011003260500373</t>
  </si>
  <si>
    <t>TOKO PAK SLAMET</t>
  </si>
  <si>
    <t>011003260500374</t>
  </si>
  <si>
    <t>,</t>
  </si>
  <si>
    <t>011003260400198</t>
  </si>
  <si>
    <t>AFNAN CELL</t>
  </si>
  <si>
    <t>WONOKROMO</t>
  </si>
  <si>
    <t>011003260400200</t>
  </si>
  <si>
    <t>TOKO NAPSYAH</t>
  </si>
  <si>
    <t>PASAR PON</t>
  </si>
  <si>
    <t>011003260400201</t>
  </si>
  <si>
    <t>TOKO PAINO</t>
  </si>
  <si>
    <t>011001260400178</t>
  </si>
  <si>
    <t xml:space="preserve">TOKO AKROM </t>
  </si>
  <si>
    <t>KALIPUTIH</t>
  </si>
  <si>
    <t>011003260400197</t>
  </si>
  <si>
    <t>011003260400233</t>
  </si>
  <si>
    <t>TOKO SRI WALUYO</t>
  </si>
  <si>
    <t>KENAYAN</t>
  </si>
  <si>
    <t>PASAR KARANGSAMBUNG</t>
  </si>
  <si>
    <t>TOKO SUTARMAN</t>
  </si>
  <si>
    <t>UTARA LIPPI</t>
  </si>
  <si>
    <t>011003260500262</t>
  </si>
  <si>
    <t>011003260400219</t>
  </si>
  <si>
    <t>TOKO BU LURAH</t>
  </si>
  <si>
    <t>011003260400220</t>
  </si>
  <si>
    <t>011003260400232</t>
  </si>
  <si>
    <t>011003260400207</t>
  </si>
  <si>
    <t>BUAYAN</t>
  </si>
  <si>
    <t>011003260400238</t>
  </si>
  <si>
    <t>TOKO PELITA CANDRA</t>
  </si>
  <si>
    <t>KAMULYAN</t>
  </si>
  <si>
    <t>011003260400210</t>
  </si>
  <si>
    <t>TOKO EDI SUNARYO</t>
  </si>
  <si>
    <t>SUWUK</t>
  </si>
  <si>
    <t>011003260400212</t>
  </si>
  <si>
    <t>TOKO SIPUR</t>
  </si>
  <si>
    <t>WETON WETAN</t>
  </si>
  <si>
    <t>011003260400214</t>
  </si>
  <si>
    <t>TOKO MBA SRI</t>
  </si>
  <si>
    <t>KEDALEMAN KULON</t>
  </si>
  <si>
    <t>011003260400216</t>
  </si>
  <si>
    <t>011003260500395</t>
  </si>
  <si>
    <t>TOKO BU YUNG</t>
  </si>
  <si>
    <t>MADURESO</t>
  </si>
  <si>
    <t>SABTU 09/05/2026</t>
  </si>
  <si>
    <t>SENIN 11/05/2026</t>
  </si>
  <si>
    <t>011003260400256</t>
  </si>
  <si>
    <t>TOKO MAHYA</t>
  </si>
  <si>
    <t>SELANG</t>
  </si>
  <si>
    <t>011003260400257</t>
  </si>
  <si>
    <t>TOKO SUMARSONO</t>
  </si>
  <si>
    <t>DEPOKREJO 2/2</t>
  </si>
  <si>
    <t>011003260400259</t>
  </si>
  <si>
    <t>TOKO PUTRI LESTARI</t>
  </si>
  <si>
    <t>SIDOMORO</t>
  </si>
  <si>
    <t>011003260400260</t>
  </si>
  <si>
    <t>TOKO BU NUR</t>
  </si>
  <si>
    <t>011003260400261</t>
  </si>
  <si>
    <t>TOKO NIKMATIN</t>
  </si>
  <si>
    <t>011003260400263</t>
  </si>
  <si>
    <t>TOKO SHEKH</t>
  </si>
  <si>
    <t>KELAPASAWIT</t>
  </si>
  <si>
    <t>011003260400265</t>
  </si>
  <si>
    <t>TOKO TUTI</t>
  </si>
  <si>
    <t>PASAR JATISARI</t>
  </si>
  <si>
    <t>011003260400266</t>
  </si>
  <si>
    <t>TOKO SARYADI</t>
  </si>
  <si>
    <t>011003260400268</t>
  </si>
  <si>
    <t>011003260400269</t>
  </si>
  <si>
    <t>011003260400186</t>
  </si>
  <si>
    <t>SS PLASTIK</t>
  </si>
  <si>
    <t>011003260400231</t>
  </si>
  <si>
    <t>TOKO BAKSO FAMILU</t>
  </si>
  <si>
    <t>SIDOHARJO</t>
  </si>
  <si>
    <t>011003260400240</t>
  </si>
  <si>
    <t>TOKO SANG BARU</t>
  </si>
  <si>
    <t>KALENG</t>
  </si>
  <si>
    <t>011003260400246</t>
  </si>
  <si>
    <t>TOKO SRC SETIA HATI</t>
  </si>
  <si>
    <t>KEDUNGWINANGUN</t>
  </si>
  <si>
    <t>011003260400247</t>
  </si>
  <si>
    <t>TOKO ANJAR</t>
  </si>
  <si>
    <t>011003260400348</t>
  </si>
  <si>
    <t>011001260400148</t>
  </si>
  <si>
    <t>TOKO SUPARMAN</t>
  </si>
  <si>
    <t>LANGSE</t>
  </si>
  <si>
    <t>011003260400250</t>
  </si>
  <si>
    <t>TOKO KANAYA</t>
  </si>
  <si>
    <t>PASAR JOGOSIMO</t>
  </si>
  <si>
    <t>011003260400251</t>
  </si>
  <si>
    <t>011003260400252</t>
  </si>
  <si>
    <t>TOKO SRC CITRA</t>
  </si>
  <si>
    <t>WOTBUONO</t>
  </si>
  <si>
    <t>011003260400253</t>
  </si>
  <si>
    <t>TOKO ATUN</t>
  </si>
  <si>
    <t>011003260400276</t>
  </si>
  <si>
    <t>TOKO MUKTI</t>
  </si>
  <si>
    <t>PASAR ROWOKELE</t>
  </si>
  <si>
    <t>011003260400279</t>
  </si>
  <si>
    <t>TOKO WAWAN</t>
  </si>
  <si>
    <t>PASAR CANDIRENGGO</t>
  </si>
  <si>
    <t>011003260400286</t>
  </si>
  <si>
    <t>TOKO WALUYO</t>
  </si>
  <si>
    <t>BUNIAYU</t>
  </si>
  <si>
    <t>011003260400282</t>
  </si>
  <si>
    <t>011003260400283</t>
  </si>
  <si>
    <t>011003260500427</t>
  </si>
  <si>
    <t>TOKO FAMILI</t>
  </si>
  <si>
    <t>011003260500429</t>
  </si>
  <si>
    <t>TOKO KASINAH</t>
  </si>
  <si>
    <t>011003260500415</t>
  </si>
  <si>
    <t>TOKO BRASIL</t>
  </si>
  <si>
    <t>011003260500416</t>
  </si>
  <si>
    <t xml:space="preserve">TOKO INDRI </t>
  </si>
  <si>
    <t>ADIWARNO</t>
  </si>
  <si>
    <t>011003260500424</t>
  </si>
  <si>
    <t>TOKO PARTUN</t>
  </si>
  <si>
    <t>011003260500435</t>
  </si>
  <si>
    <t>TOKO PAITON</t>
  </si>
  <si>
    <t>011003260500436</t>
  </si>
  <si>
    <t>SELASA 12/05/2026</t>
  </si>
  <si>
    <t>KELAPA SAWIT</t>
  </si>
  <si>
    <t>PASAR KRAKAL</t>
  </si>
  <si>
    <t>TOKO JAYA SEMBAKO</t>
  </si>
  <si>
    <t>BANDUNGSERUNI</t>
  </si>
  <si>
    <t>PASAR SRUNI</t>
  </si>
  <si>
    <t>011001260400258</t>
  </si>
  <si>
    <t>TOKO ROSIDAH</t>
  </si>
  <si>
    <t>011001260400185</t>
  </si>
  <si>
    <t>TOKO SANEM</t>
  </si>
  <si>
    <t>011003260400301</t>
  </si>
  <si>
    <t>TOKO ENGGAL</t>
  </si>
  <si>
    <t>011003260400302</t>
  </si>
  <si>
    <t>011003260400303</t>
  </si>
  <si>
    <t>TOKO BU IDA</t>
  </si>
  <si>
    <t>011003260400306</t>
  </si>
  <si>
    <t>TOKO SAMSUDIN</t>
  </si>
  <si>
    <t>NAMPUDADI</t>
  </si>
  <si>
    <t>011003260400308</t>
  </si>
  <si>
    <t>TOKO CERIA</t>
  </si>
  <si>
    <t>PASAR KRITIG</t>
  </si>
  <si>
    <t>011003260400311</t>
  </si>
  <si>
    <t>TOKO IDAMAN</t>
  </si>
  <si>
    <t>PASAR DOROWATI</t>
  </si>
  <si>
    <t>PASAR PUTIHAN</t>
  </si>
  <si>
    <t>PASAR KEPUTIHAN</t>
  </si>
  <si>
    <t>011003260400315</t>
  </si>
  <si>
    <t>TOKO RAHAYU</t>
  </si>
  <si>
    <t>011003260400316</t>
  </si>
  <si>
    <t>SINAR DOROWATI</t>
  </si>
  <si>
    <t>011003260400318</t>
  </si>
  <si>
    <t>TOKO AZAHRAH</t>
  </si>
  <si>
    <t>DOROWATI</t>
  </si>
  <si>
    <t>011001260400169</t>
  </si>
  <si>
    <t>TOKO JAYA WIJAYA</t>
  </si>
  <si>
    <t>PANDANLOR</t>
  </si>
  <si>
    <t>011001260400172</t>
  </si>
  <si>
    <t>TOKO SITI</t>
  </si>
  <si>
    <t>011001260400174</t>
  </si>
  <si>
    <t>TOKO EKA SARI</t>
  </si>
  <si>
    <t>KEDUNGSARI</t>
  </si>
  <si>
    <t>011003260400319</t>
  </si>
  <si>
    <t>011003260400320</t>
  </si>
  <si>
    <t>011003260400321</t>
  </si>
  <si>
    <t>TOKO ARI 2</t>
  </si>
  <si>
    <t>011003260400323</t>
  </si>
  <si>
    <t>011003260400327</t>
  </si>
  <si>
    <t>011003260400325</t>
  </si>
  <si>
    <t>011003260400329</t>
  </si>
  <si>
    <t>TOKO MARSILAH</t>
  </si>
  <si>
    <t>011003260400347</t>
  </si>
  <si>
    <t>011003260400332</t>
  </si>
  <si>
    <t xml:space="preserve">SOFI </t>
  </si>
  <si>
    <t>COKOLAN MELES</t>
  </si>
  <si>
    <t>011003260400333</t>
  </si>
  <si>
    <t>TOKO AL HAYAN</t>
  </si>
  <si>
    <t>ARJOSARI</t>
  </si>
  <si>
    <t>011003260400334</t>
  </si>
  <si>
    <t>TOKO MIRAH</t>
  </si>
  <si>
    <t>ARJOMULYO</t>
  </si>
  <si>
    <t>011003260400338</t>
  </si>
  <si>
    <t>TOKO SUSILO</t>
  </si>
  <si>
    <t>ORI</t>
  </si>
  <si>
    <t>011003260400341</t>
  </si>
  <si>
    <t>TOKO MAJU MANTEP</t>
  </si>
  <si>
    <t>PONDOK GEBANGSARI</t>
  </si>
  <si>
    <t>011011260500002</t>
  </si>
  <si>
    <t>011011260500005</t>
  </si>
  <si>
    <t>TOKO MASRUR</t>
  </si>
  <si>
    <t>011011260500033</t>
  </si>
  <si>
    <t>TOKO SUYATNO</t>
  </si>
  <si>
    <t>MANGUNWENI</t>
  </si>
  <si>
    <t>011011260500036</t>
  </si>
  <si>
    <t>BU SOPAN</t>
  </si>
  <si>
    <t>TEBA LOR/CANDI RENGGO</t>
  </si>
  <si>
    <t>011011260500037</t>
  </si>
  <si>
    <t>011003260400237</t>
  </si>
  <si>
    <t>TOKO GAMAS</t>
  </si>
  <si>
    <t>011011260500014</t>
  </si>
  <si>
    <t>RABU 13/05/2026</t>
  </si>
  <si>
    <t>011003260400137</t>
  </si>
  <si>
    <t>TOO SINAR MULYA</t>
  </si>
  <si>
    <t>PUCANGAN</t>
  </si>
  <si>
    <t>TOKO NUROKHMAN</t>
  </si>
  <si>
    <t>011001260400257</t>
  </si>
  <si>
    <t>TOKO ALFIN</t>
  </si>
  <si>
    <t>011001260400259</t>
  </si>
  <si>
    <t>TOKO MUGI BERKAH</t>
  </si>
  <si>
    <t>011001260400260</t>
  </si>
  <si>
    <t>BU WENI</t>
  </si>
  <si>
    <t>011003260400354</t>
  </si>
  <si>
    <t>TOKO NGATINO</t>
  </si>
  <si>
    <t>AMBAL KRETEK</t>
  </si>
  <si>
    <t>011003260400356</t>
  </si>
  <si>
    <t>TOKO NADIRA</t>
  </si>
  <si>
    <t>GONDANG LEGI</t>
  </si>
  <si>
    <t>011003260400357</t>
  </si>
  <si>
    <t>TOKO RANI</t>
  </si>
  <si>
    <t>PUCANGAN AMBAL</t>
  </si>
  <si>
    <t>011001260400262</t>
  </si>
  <si>
    <t>011003260400304</t>
  </si>
  <si>
    <t>011003260500045</t>
  </si>
  <si>
    <t>TOKO SUMBER ABADI</t>
  </si>
  <si>
    <t>011003260400305</t>
  </si>
  <si>
    <t>TOKO ACHI MART</t>
  </si>
  <si>
    <t>PODOURIP</t>
  </si>
  <si>
    <t>011003260400312</t>
  </si>
  <si>
    <t>TOKO KANZA</t>
  </si>
  <si>
    <t>011003260400313</t>
  </si>
  <si>
    <t>TOKO SULIYAH</t>
  </si>
  <si>
    <t>011003260400363</t>
  </si>
  <si>
    <t>SRC SUMBER BERKAH</t>
  </si>
  <si>
    <t>KARANGGEDANG</t>
  </si>
  <si>
    <t>011003260400364</t>
  </si>
  <si>
    <t>TOKO GITA</t>
  </si>
  <si>
    <t>PASAR TENGOK</t>
  </si>
  <si>
    <t>ADITIRTO</t>
  </si>
  <si>
    <t>011003260400397</t>
  </si>
  <si>
    <t>TOKO YATI</t>
  </si>
  <si>
    <t>021322</t>
  </si>
  <si>
    <t>TOKO SRC GUN</t>
  </si>
  <si>
    <t>011001260400246</t>
  </si>
  <si>
    <t>MIE AYAM BAROKAH</t>
  </si>
  <si>
    <t>011003260400326</t>
  </si>
  <si>
    <t>TOKO PODOLUHUR</t>
  </si>
  <si>
    <t>MIE AYAM RUDIN</t>
  </si>
  <si>
    <t>011003260400328</t>
  </si>
  <si>
    <t>011003260400374</t>
  </si>
  <si>
    <t>TOKO UMI/OLA</t>
  </si>
  <si>
    <t>011003260400375</t>
  </si>
  <si>
    <t>TOKO HANA LULU</t>
  </si>
  <si>
    <t>011003260400378</t>
  </si>
  <si>
    <t>011003260400380</t>
  </si>
  <si>
    <t>PASAR KUWARASAN</t>
  </si>
  <si>
    <t>011003260400383</t>
  </si>
  <si>
    <t>TOKO TRI</t>
  </si>
  <si>
    <t>PASAR PURWOGONDO</t>
  </si>
  <si>
    <t>011003260400384</t>
  </si>
  <si>
    <t>011003260400385</t>
  </si>
  <si>
    <t>TOKO SARLI</t>
  </si>
  <si>
    <t>011003260400386</t>
  </si>
  <si>
    <t>PUSPITA MART</t>
  </si>
  <si>
    <t>SIDOARUM</t>
  </si>
  <si>
    <t>011003260400387</t>
  </si>
  <si>
    <t>PURING INDAH</t>
  </si>
  <si>
    <t>SITIADI</t>
  </si>
  <si>
    <t>011003260400389</t>
  </si>
  <si>
    <t>TOKO PAR</t>
  </si>
  <si>
    <t>011003260400396</t>
  </si>
  <si>
    <t>TOKO AA</t>
  </si>
  <si>
    <t>JL LAUT BOPONG</t>
  </si>
  <si>
    <t>011003260400391</t>
  </si>
  <si>
    <t>TOKO NASWA</t>
  </si>
  <si>
    <t>011003260400393</t>
  </si>
  <si>
    <t>011003260500447</t>
  </si>
  <si>
    <t>TOKO MUJIANTO</t>
  </si>
  <si>
    <t>011003260500454</t>
  </si>
  <si>
    <t>PASAR COKOLAN/MELES</t>
  </si>
  <si>
    <t>011003260500457</t>
  </si>
  <si>
    <t>TEGUH CELL</t>
  </si>
  <si>
    <t>011003260500459</t>
  </si>
  <si>
    <t>PASAR ORI</t>
  </si>
  <si>
    <t>011003260500481</t>
  </si>
  <si>
    <t>SRC DILA</t>
  </si>
  <si>
    <t>011003260500483</t>
  </si>
  <si>
    <t>011003260500475</t>
  </si>
  <si>
    <t>KAMIS 14/05/2026</t>
  </si>
  <si>
    <t>011003260500041</t>
  </si>
  <si>
    <t>011003260400394</t>
  </si>
  <si>
    <t>TOKO BU SITI</t>
  </si>
  <si>
    <t>011003260500001</t>
  </si>
  <si>
    <t>MEVA CELL</t>
  </si>
  <si>
    <t>011003260500003</t>
  </si>
  <si>
    <t>SUMBER BERKAH</t>
  </si>
  <si>
    <t>011003260500005</t>
  </si>
  <si>
    <t>011003260500006</t>
  </si>
  <si>
    <t>TOKO PUAS MART</t>
  </si>
  <si>
    <t>011003260500009</t>
  </si>
  <si>
    <t>TANTE DHEPY</t>
  </si>
  <si>
    <t>CARUBAN</t>
  </si>
  <si>
    <t>011003260500010</t>
  </si>
  <si>
    <t>TOKO SASA</t>
  </si>
  <si>
    <t>011003260500011</t>
  </si>
  <si>
    <t>TOKO ESTI</t>
  </si>
  <si>
    <t>011003260500012</t>
  </si>
  <si>
    <t>TOKO AGUS SETIAWAN</t>
  </si>
  <si>
    <t>BULUHPAYUNG</t>
  </si>
  <si>
    <t>011003260500014</t>
  </si>
  <si>
    <t>TOKO WIJI</t>
  </si>
  <si>
    <t>011003260500043</t>
  </si>
  <si>
    <t>TOKO ENYONG CELL</t>
  </si>
  <si>
    <t>KEMUJAN</t>
  </si>
  <si>
    <t>011003260400373</t>
  </si>
  <si>
    <t>011003260500042</t>
  </si>
  <si>
    <t>011003260500035</t>
  </si>
  <si>
    <t>011003260500036</t>
  </si>
  <si>
    <t>011003260500037</t>
  </si>
  <si>
    <t>011003260500039</t>
  </si>
  <si>
    <t>011003260400361</t>
  </si>
  <si>
    <t>SINAR PURWOGONDO</t>
  </si>
  <si>
    <t>011003260400395</t>
  </si>
  <si>
    <t>TOKO MUKTI JAYA</t>
  </si>
  <si>
    <t>011003260500018</t>
  </si>
  <si>
    <t xml:space="preserve">TOKO WIWIN </t>
  </si>
  <si>
    <t>011003260500019</t>
  </si>
  <si>
    <t>TOKO BAKSO ANANDA</t>
  </si>
  <si>
    <t>TERMINAL GOMBONG</t>
  </si>
  <si>
    <t>011003260500023</t>
  </si>
  <si>
    <t>TOKO NANANG</t>
  </si>
  <si>
    <t>JL POTONGAN</t>
  </si>
  <si>
    <t>011003260500025</t>
  </si>
  <si>
    <t>TOKO BANON JAYA</t>
  </si>
  <si>
    <t>011003260500026</t>
  </si>
  <si>
    <t>TOKO NARTI</t>
  </si>
  <si>
    <t>011003260500028</t>
  </si>
  <si>
    <t>011003260500029</t>
  </si>
  <si>
    <t>011003260500032</t>
  </si>
  <si>
    <t>HANDOYO MART</t>
  </si>
  <si>
    <t>011003260500034</t>
  </si>
  <si>
    <t>011003260400390</t>
  </si>
  <si>
    <t>011003260500488</t>
  </si>
  <si>
    <t>TOKO SULAIMAN</t>
  </si>
  <si>
    <t>011003260500500</t>
  </si>
  <si>
    <t>TOKO DAR</t>
  </si>
  <si>
    <t>011003260500501</t>
  </si>
  <si>
    <t>011003260500503</t>
  </si>
  <si>
    <t>TOKO OTI/DD</t>
  </si>
  <si>
    <t>011003260500517</t>
  </si>
  <si>
    <t>TOKO PAK SUDI</t>
  </si>
  <si>
    <t>011003260500490</t>
  </si>
  <si>
    <t>TOKO NENI</t>
  </si>
  <si>
    <t>011003260500496</t>
  </si>
  <si>
    <t>011003260500513</t>
  </si>
  <si>
    <t>TOKO REZATA</t>
  </si>
  <si>
    <t>011003260400125</t>
  </si>
  <si>
    <t>TOKO HAMDAN</t>
  </si>
  <si>
    <t>WONOSARI</t>
  </si>
  <si>
    <t>ALIM(HAFID)</t>
  </si>
  <si>
    <t xml:space="preserve">  </t>
  </si>
  <si>
    <t>011001260300019</t>
  </si>
  <si>
    <t>TOKO IMAM</t>
  </si>
  <si>
    <t>JL KOLOPAKING</t>
  </si>
  <si>
    <t xml:space="preserve">LUNAS </t>
  </si>
  <si>
    <t>JUMAT 15/05/2026</t>
  </si>
  <si>
    <t>011003260500066</t>
  </si>
  <si>
    <t>011003260500069</t>
  </si>
  <si>
    <t>TOKO KURNIA CELL</t>
  </si>
  <si>
    <t>011003260400298</t>
  </si>
  <si>
    <t>TOKO ELA</t>
  </si>
  <si>
    <t>KALIBAGOR</t>
  </si>
  <si>
    <t>021431</t>
  </si>
  <si>
    <t>TOKO ARNI</t>
  </si>
  <si>
    <t>011003260500070</t>
  </si>
  <si>
    <t>011003260500071</t>
  </si>
  <si>
    <t>011003260500046</t>
  </si>
  <si>
    <t>TOKO MANGSUD</t>
  </si>
  <si>
    <t>011003260500049</t>
  </si>
  <si>
    <t>TOKO TASNIM MART</t>
  </si>
  <si>
    <t>011003260500050</t>
  </si>
  <si>
    <t>011003260500052</t>
  </si>
  <si>
    <t>TOKO SULIS/NOVI</t>
  </si>
  <si>
    <t>011003260500054</t>
  </si>
  <si>
    <t>KLIRONG</t>
  </si>
  <si>
    <t>TOKO ULFAH</t>
  </si>
  <si>
    <t>011003260500058</t>
  </si>
  <si>
    <t>011001260400213</t>
  </si>
  <si>
    <t>011003260500059</t>
  </si>
  <si>
    <t>011003260500060</t>
  </si>
  <si>
    <t>011003260500061</t>
  </si>
  <si>
    <t>011003260500062</t>
  </si>
  <si>
    <t>011003260500073</t>
  </si>
  <si>
    <t>TOKO LISMA JAYA</t>
  </si>
  <si>
    <t>011003260500074</t>
  </si>
  <si>
    <t>CANTIKA CELL</t>
  </si>
  <si>
    <t>011003260500075</t>
  </si>
  <si>
    <t>TOKO AZKA</t>
  </si>
  <si>
    <t>KEDUNGPUJI</t>
  </si>
  <si>
    <t>011003260500077</t>
  </si>
  <si>
    <t>PEKUNCEN</t>
  </si>
  <si>
    <t>011003260500078</t>
  </si>
  <si>
    <t>011003260500079</t>
  </si>
  <si>
    <t>TOKO TOHID</t>
  </si>
  <si>
    <t>SEMALI</t>
  </si>
  <si>
    <t>011003260500082</t>
  </si>
  <si>
    <t>TOKO LKA</t>
  </si>
  <si>
    <t>PASAR KENTENG</t>
  </si>
  <si>
    <t>011003260500083</t>
  </si>
  <si>
    <t>LANGGENG CELL</t>
  </si>
  <si>
    <t>011003260500084</t>
  </si>
  <si>
    <t>TOKO AISYAH</t>
  </si>
  <si>
    <t>011003260500085</t>
  </si>
  <si>
    <t>RIFQY CELL</t>
  </si>
  <si>
    <t>011003260500031</t>
  </si>
  <si>
    <t>TOKO ASRORI</t>
  </si>
  <si>
    <t>011003260500030</t>
  </si>
  <si>
    <t>011003260500087</t>
  </si>
  <si>
    <t>011003260500088</t>
  </si>
  <si>
    <t>011003260500090</t>
  </si>
  <si>
    <t>011003260500091</t>
  </si>
  <si>
    <t>011003260500092</t>
  </si>
  <si>
    <t>011003260500093</t>
  </si>
  <si>
    <t>011003260500530</t>
  </si>
  <si>
    <t>TOKO HARTONO 3</t>
  </si>
  <si>
    <t>TEROK/KEMUJAN</t>
  </si>
  <si>
    <t>022003260500533</t>
  </si>
  <si>
    <t>011003260500522</t>
  </si>
  <si>
    <t>011003260500547</t>
  </si>
  <si>
    <t>TOKO LESTARI</t>
  </si>
  <si>
    <t>SABTU 16/05/2026</t>
  </si>
  <si>
    <t>011003260500096</t>
  </si>
  <si>
    <t>011003260500097</t>
  </si>
  <si>
    <t>TOKO PUTRA BARU</t>
  </si>
  <si>
    <t>011003260500098</t>
  </si>
  <si>
    <t>TOKO ARTHA JAYA</t>
  </si>
  <si>
    <t>PASAR KENAYAN</t>
  </si>
  <si>
    <t>011003260500099</t>
  </si>
  <si>
    <t>011003260500101</t>
  </si>
  <si>
    <t>011003260500047</t>
  </si>
  <si>
    <t>GAMBLOK BARU</t>
  </si>
  <si>
    <t>011003260500048</t>
  </si>
  <si>
    <t>011003260500053</t>
  </si>
  <si>
    <t>011003260500102</t>
  </si>
  <si>
    <t>TOKO BONI</t>
  </si>
  <si>
    <t>011003260500104</t>
  </si>
  <si>
    <t>TOKO MUKTI 2</t>
  </si>
  <si>
    <t>011003260500105</t>
  </si>
  <si>
    <t>TOKO ANANDA</t>
  </si>
  <si>
    <t>KARANGMAJA</t>
  </si>
  <si>
    <t>011003260500106</t>
  </si>
  <si>
    <t>011003260500110</t>
  </si>
  <si>
    <t>TOKO KAMISAH</t>
  </si>
  <si>
    <t>011003260500112</t>
  </si>
  <si>
    <t>011003260500119</t>
  </si>
  <si>
    <t>TOKO JB MRETANI</t>
  </si>
  <si>
    <t>011001260400227</t>
  </si>
  <si>
    <t>TOKO KUSUMA INDAH</t>
  </si>
  <si>
    <t>011001260400239</t>
  </si>
  <si>
    <t>011003260500121</t>
  </si>
  <si>
    <t>011003260500122</t>
  </si>
  <si>
    <t>011003260500123</t>
  </si>
  <si>
    <t>011003260500124</t>
  </si>
  <si>
    <t>011003260500125</t>
  </si>
  <si>
    <t>TOKO SAFANIYAH</t>
  </si>
  <si>
    <t>011003260500126</t>
  </si>
  <si>
    <t>TOKO RAMIN</t>
  </si>
  <si>
    <t>PASAR GEBLUG</t>
  </si>
  <si>
    <t>011003260500127</t>
  </si>
  <si>
    <t>TOKO AURA RANGKAH</t>
  </si>
  <si>
    <t>RANGKAH</t>
  </si>
  <si>
    <t>011003260500128</t>
  </si>
  <si>
    <t xml:space="preserve">TOKO AURA </t>
  </si>
  <si>
    <t>011003260500129</t>
  </si>
  <si>
    <t>SINAR MR</t>
  </si>
  <si>
    <t>011003260500130</t>
  </si>
  <si>
    <t>TOKO YULI</t>
  </si>
  <si>
    <t>011003260500135</t>
  </si>
  <si>
    <t>TOKO SINAR PASIR</t>
  </si>
  <si>
    <t>DESA PASIR RT 2 RW 1</t>
  </si>
  <si>
    <t>011003260500136</t>
  </si>
  <si>
    <t>011003260500138</t>
  </si>
  <si>
    <t>TOKO KALAPACUNG</t>
  </si>
  <si>
    <t>PASAR JINTUNG</t>
  </si>
  <si>
    <t>011003260500139</t>
  </si>
  <si>
    <t>011003260500142</t>
  </si>
  <si>
    <t>011003260500143</t>
  </si>
  <si>
    <t>011003260500144</t>
  </si>
  <si>
    <t xml:space="preserve">TOKO YULI </t>
  </si>
  <si>
    <t>011003260500146</t>
  </si>
  <si>
    <t>011003260500148</t>
  </si>
  <si>
    <t>011003260500584</t>
  </si>
  <si>
    <t>TOKO RIZAL</t>
  </si>
  <si>
    <t>011003260500585</t>
  </si>
  <si>
    <t>011003260500586</t>
  </si>
  <si>
    <t>011003260500588</t>
  </si>
  <si>
    <t>TOKO SOLEHUDIN</t>
  </si>
  <si>
    <t>011003260500573</t>
  </si>
  <si>
    <t>TOKO YUSRO</t>
  </si>
  <si>
    <t>011003260500580</t>
  </si>
  <si>
    <t>TOKO KAYRA</t>
  </si>
  <si>
    <t>GROGOL BENINGSARI</t>
  </si>
  <si>
    <t>011003260500553</t>
  </si>
  <si>
    <t>TOKO BAYU</t>
  </si>
  <si>
    <t>KLAPAGADA</t>
  </si>
  <si>
    <t>011003260500554</t>
  </si>
  <si>
    <t>011003260500555</t>
  </si>
  <si>
    <t>TOKO WAGIMAH</t>
  </si>
  <si>
    <t>SIDAYU</t>
  </si>
  <si>
    <t>011003260500560</t>
  </si>
  <si>
    <t>011003260500582</t>
  </si>
  <si>
    <t>TOKO ARETTA</t>
  </si>
  <si>
    <t>BOCOR 2/5</t>
  </si>
  <si>
    <t>SENIN 18/05/2026</t>
  </si>
  <si>
    <t>011003260500157</t>
  </si>
  <si>
    <t>TOKO ANYAR</t>
  </si>
  <si>
    <t>MIRIT</t>
  </si>
  <si>
    <t>011003260500158</t>
  </si>
  <si>
    <t>011003260500159</t>
  </si>
  <si>
    <t>TOKO LIBBY</t>
  </si>
  <si>
    <t>LEMBU PURWO</t>
  </si>
  <si>
    <t>WIROMARTAN</t>
  </si>
  <si>
    <t>011003260500161</t>
  </si>
  <si>
    <t>AGUS/MARYATUN</t>
  </si>
  <si>
    <t>011003260500162</t>
  </si>
  <si>
    <t>TOKO KOMARYATI</t>
  </si>
  <si>
    <t>TLOGO DEPOK</t>
  </si>
  <si>
    <t>011003260500185</t>
  </si>
  <si>
    <t>WL SWALAYAN</t>
  </si>
  <si>
    <t>011003260500186</t>
  </si>
  <si>
    <t>TOKO TUKIJAN</t>
  </si>
  <si>
    <t>SUMBER JATI</t>
  </si>
  <si>
    <t>011003260500187</t>
  </si>
  <si>
    <t>011003260500188</t>
  </si>
  <si>
    <t>011003260500190</t>
  </si>
  <si>
    <t>011003260500191</t>
  </si>
  <si>
    <t>011003260500192</t>
  </si>
  <si>
    <t>TOKO SRC RAHMAT</t>
  </si>
  <si>
    <t>011003260500193</t>
  </si>
  <si>
    <t>011003260500209</t>
  </si>
  <si>
    <t>011003260500100</t>
  </si>
  <si>
    <t>011003260500107</t>
  </si>
  <si>
    <t>KALIREJA</t>
  </si>
  <si>
    <t>011003260500111</t>
  </si>
  <si>
    <t>PI MART</t>
  </si>
  <si>
    <t>011003260500165</t>
  </si>
  <si>
    <t>TOKO UDIN</t>
  </si>
  <si>
    <t>PASAR KEJAWANG</t>
  </si>
  <si>
    <t>011003260500167</t>
  </si>
  <si>
    <t>TOKO KIOS PKK</t>
  </si>
  <si>
    <t>011003260500173</t>
  </si>
  <si>
    <t>TOKO CACA</t>
  </si>
  <si>
    <t>011003260500174</t>
  </si>
  <si>
    <t>TOKO PAK MISOM</t>
  </si>
  <si>
    <t>011003260400085</t>
  </si>
  <si>
    <t>011003260500178</t>
  </si>
  <si>
    <t xml:space="preserve">TOKO KU </t>
  </si>
  <si>
    <t>011003260500179</t>
  </si>
  <si>
    <t>011003260500180</t>
  </si>
  <si>
    <t>011003260500181</t>
  </si>
  <si>
    <t>011003260500182</t>
  </si>
  <si>
    <t>011003260500183</t>
  </si>
  <si>
    <t>TOKO AZRA</t>
  </si>
  <si>
    <t>011003260500184</t>
  </si>
  <si>
    <t>TOKO KIRMAN</t>
  </si>
  <si>
    <t>011003260500197</t>
  </si>
  <si>
    <t>011003260500198</t>
  </si>
  <si>
    <t>TOKO SINAR</t>
  </si>
  <si>
    <t>011003260500200</t>
  </si>
  <si>
    <t>RAHMAT/AHMAD</t>
  </si>
  <si>
    <t>011003260500201</t>
  </si>
  <si>
    <t>MAJU BERSAMA</t>
  </si>
  <si>
    <t>AYAH</t>
  </si>
  <si>
    <t>011003260500202</t>
  </si>
  <si>
    <t>DEPO BELANJA</t>
  </si>
  <si>
    <t>011003260500147</t>
  </si>
  <si>
    <t>011003260500149</t>
  </si>
  <si>
    <t>011003260500204</t>
  </si>
  <si>
    <t>011003260500205</t>
  </si>
  <si>
    <t>011003260500207</t>
  </si>
  <si>
    <t>011003260500208</t>
  </si>
  <si>
    <t>011003260500634</t>
  </si>
  <si>
    <t>TOKO PAK SUGENG</t>
  </si>
  <si>
    <t>JL WADASLINTANG</t>
  </si>
  <si>
    <t>011003260500614</t>
  </si>
  <si>
    <t>011003260500617</t>
  </si>
  <si>
    <t>TOKO AGUS PLASTK</t>
  </si>
  <si>
    <t>011003260500618</t>
  </si>
  <si>
    <t>011003260500619</t>
  </si>
  <si>
    <t>011003260500620</t>
  </si>
  <si>
    <t>011003260500621</t>
  </si>
  <si>
    <t>011003260500625</t>
  </si>
  <si>
    <t>011003260500594</t>
  </si>
  <si>
    <t>011003260500595</t>
  </si>
  <si>
    <t>011003260500596</t>
  </si>
  <si>
    <t>011003260500597</t>
  </si>
  <si>
    <t>BU MARSIO</t>
  </si>
  <si>
    <t>011003260500602</t>
  </si>
  <si>
    <t>011003260500604</t>
  </si>
  <si>
    <t>011003260500637</t>
  </si>
  <si>
    <t>011003260500638</t>
  </si>
  <si>
    <t>PERTIGAAN PASIR</t>
  </si>
  <si>
    <t>011003260500639</t>
  </si>
  <si>
    <t>011003260500640</t>
  </si>
  <si>
    <t>011003260500033</t>
  </si>
  <si>
    <t>TOKO SURAT</t>
  </si>
  <si>
    <t>P PAGI GMB</t>
  </si>
  <si>
    <t>TRANSFER</t>
  </si>
  <si>
    <t>LUNAS (ADA RETUR 40,000)</t>
  </si>
  <si>
    <t>TOTAL CASH</t>
  </si>
  <si>
    <t>TOTAL TRANSFER</t>
  </si>
  <si>
    <t>011003260500213</t>
  </si>
  <si>
    <t>TOKO KENAYAN</t>
  </si>
  <si>
    <t>JL KENAYAN</t>
  </si>
  <si>
    <t>PASAR PONCOWARNO</t>
  </si>
  <si>
    <t>011003260500215</t>
  </si>
  <si>
    <t>TOKO KOSIDAH</t>
  </si>
  <si>
    <t>011003260500216</t>
  </si>
  <si>
    <t>TOKO RANTI</t>
  </si>
  <si>
    <t>011003260500217</t>
  </si>
  <si>
    <t>011003260500218</t>
  </si>
  <si>
    <t>TOKO SARI USAHA</t>
  </si>
  <si>
    <t>PASAR PENCIL</t>
  </si>
  <si>
    <t>011003260500219</t>
  </si>
  <si>
    <t>TOKO ANISA</t>
  </si>
  <si>
    <t>011003260500221</t>
  </si>
  <si>
    <t>TOKO ANDI</t>
  </si>
  <si>
    <t>011003260500222</t>
  </si>
  <si>
    <t>021157</t>
  </si>
  <si>
    <t>011003260500241</t>
  </si>
  <si>
    <t>011003260500242</t>
  </si>
  <si>
    <t>011003260500245</t>
  </si>
  <si>
    <t>011003260500246</t>
  </si>
  <si>
    <t>011003260500164</t>
  </si>
  <si>
    <t>TOKO ERLIN</t>
  </si>
  <si>
    <t>011003260500169</t>
  </si>
  <si>
    <t>TOKO KU</t>
  </si>
  <si>
    <t>011003260500170</t>
  </si>
  <si>
    <t>KIS WATI BUAH</t>
  </si>
  <si>
    <t>PAAR KEJAWANG</t>
  </si>
  <si>
    <t>011003260500225</t>
  </si>
  <si>
    <t>ARKHA MART</t>
  </si>
  <si>
    <t>BLEKATUK</t>
  </si>
  <si>
    <t>011003260500226</t>
  </si>
  <si>
    <t>SRC BLEKHATUK</t>
  </si>
  <si>
    <t>011003260500227</t>
  </si>
  <si>
    <t>TOKO BU NINING</t>
  </si>
  <si>
    <t>CANDIWULAN</t>
  </si>
  <si>
    <t>011003260500229</t>
  </si>
  <si>
    <t>TOKO BERKAH</t>
  </si>
  <si>
    <t>011003260500232</t>
  </si>
  <si>
    <t>011003260500234</t>
  </si>
  <si>
    <t>011003260500235</t>
  </si>
  <si>
    <t>TOKO JANGI</t>
  </si>
  <si>
    <t>MITRA SEHATI</t>
  </si>
  <si>
    <t>011003260500251</t>
  </si>
  <si>
    <t>TOKO SURYA MART</t>
  </si>
  <si>
    <t>011003260500253</t>
  </si>
  <si>
    <t>JL SEMPOR LAMA</t>
  </si>
  <si>
    <t>TOKO CHASANAH</t>
  </si>
  <si>
    <t>JL SEMPOR BARU</t>
  </si>
  <si>
    <t>011003260500257</t>
  </si>
  <si>
    <t>011003260500258</t>
  </si>
  <si>
    <t>011003260500259</t>
  </si>
  <si>
    <t>011003260500648</t>
  </si>
  <si>
    <t>TOKO SRC ANUGRAH</t>
  </si>
  <si>
    <t>KLEPUSANGGAR</t>
  </si>
  <si>
    <t>011003260500649</t>
  </si>
  <si>
    <t>011003260500650</t>
  </si>
  <si>
    <t>011003260500655</t>
  </si>
  <si>
    <t>BU TRISNO</t>
  </si>
  <si>
    <t>011003260500664</t>
  </si>
  <si>
    <t>011003260500671</t>
  </si>
  <si>
    <t>011003260500674</t>
  </si>
  <si>
    <t>011003260500675</t>
  </si>
  <si>
    <t>011003260500677</t>
  </si>
  <si>
    <t>TOKO NINING</t>
  </si>
  <si>
    <t>SELASA 19/05/2026</t>
  </si>
  <si>
    <t>RABU 20/05/2026</t>
  </si>
  <si>
    <t>011003260500220</t>
  </si>
  <si>
    <t>TOKO IBU WELAS</t>
  </si>
  <si>
    <t>011003260500265</t>
  </si>
  <si>
    <t>011003260500266</t>
  </si>
  <si>
    <t>011003260500268</t>
  </si>
  <si>
    <t>011003260500270</t>
  </si>
  <si>
    <t>011003260500271</t>
  </si>
  <si>
    <t>TOKO CHOLID</t>
  </si>
  <si>
    <t>011003260500272</t>
  </si>
  <si>
    <t>TOKO AL HIKMAH</t>
  </si>
  <si>
    <t>011003260500240</t>
  </si>
  <si>
    <t>011003260500273</t>
  </si>
  <si>
    <t>011003260500274</t>
  </si>
  <si>
    <t>011003260500277</t>
  </si>
  <si>
    <t>TOKO SAKIMAH</t>
  </si>
  <si>
    <t>011003260500278</t>
  </si>
  <si>
    <t>011003260500279</t>
  </si>
  <si>
    <t>011003260500280</t>
  </si>
  <si>
    <t>TOKO SITUM</t>
  </si>
  <si>
    <t>011003260500282</t>
  </si>
  <si>
    <t>011003260500283</t>
  </si>
  <si>
    <t>TOOKO PAINEM</t>
  </si>
  <si>
    <t>011003260500284</t>
  </si>
  <si>
    <t>TOKO HUSNA</t>
  </si>
  <si>
    <t>011003260500285</t>
  </si>
  <si>
    <t>TOKO BU AROH</t>
  </si>
  <si>
    <t>011003260500286</t>
  </si>
  <si>
    <t>011003260500287</t>
  </si>
  <si>
    <t>011003260500288</t>
  </si>
  <si>
    <t>011003260500290</t>
  </si>
  <si>
    <t>011003260500292</t>
  </si>
  <si>
    <t>TOKO WARISAH</t>
  </si>
  <si>
    <t>KEDUNGJATI</t>
  </si>
  <si>
    <t>011003260500294</t>
  </si>
  <si>
    <t>011003260400067</t>
  </si>
  <si>
    <t>011003260400185</t>
  </si>
  <si>
    <t>PUSAKA INDAH</t>
  </si>
  <si>
    <t>011003260400187</t>
  </si>
  <si>
    <t>011003260400159</t>
  </si>
  <si>
    <t>011003260500236</t>
  </si>
  <si>
    <t>011003260500296</t>
  </si>
  <si>
    <t>011003260500298</t>
  </si>
  <si>
    <t>011003260500301</t>
  </si>
  <si>
    <t>011003260500302</t>
  </si>
  <si>
    <t>011003260500303</t>
  </si>
  <si>
    <t>011003260500304</t>
  </si>
  <si>
    <t>TOKO WIWIN</t>
  </si>
  <si>
    <t>JATIROTO 4/1</t>
  </si>
  <si>
    <t>011003260500307</t>
  </si>
  <si>
    <t>TOKO PARTI</t>
  </si>
  <si>
    <t>011003260500311</t>
  </si>
  <si>
    <t xml:space="preserve">TOKO BU TUTI </t>
  </si>
  <si>
    <t>SEMONDO</t>
  </si>
  <si>
    <t>011003260500312</t>
  </si>
  <si>
    <t xml:space="preserve">TOKO LILI </t>
  </si>
  <si>
    <t>GUNUNG MUJIL</t>
  </si>
  <si>
    <t>011003260500314</t>
  </si>
  <si>
    <t>TOKO KARTIAH</t>
  </si>
  <si>
    <t>KUWARU</t>
  </si>
  <si>
    <t>011003260500315</t>
  </si>
  <si>
    <t>TOKO SRI ATUN</t>
  </si>
  <si>
    <t>011003260500324</t>
  </si>
  <si>
    <t>TOKO MEYLA</t>
  </si>
  <si>
    <t>011003260500325</t>
  </si>
  <si>
    <t>SHINTA MART</t>
  </si>
  <si>
    <t>011003260500316</t>
  </si>
  <si>
    <t>011003260500317</t>
  </si>
  <si>
    <t>011003260500319</t>
  </si>
  <si>
    <t>011003260500320</t>
  </si>
  <si>
    <t>011003260500321</t>
  </si>
  <si>
    <t>011003260500327</t>
  </si>
  <si>
    <t>TOKO RATMI</t>
  </si>
  <si>
    <t>011003260500711</t>
  </si>
  <si>
    <t>TOKO BERKAH BUMI</t>
  </si>
  <si>
    <t>JL KUSUMA</t>
  </si>
  <si>
    <t>011003260500680</t>
  </si>
  <si>
    <t>011003260500685</t>
  </si>
  <si>
    <t xml:space="preserve">TOKO SHEILA </t>
  </si>
  <si>
    <t>011003260500686</t>
  </si>
  <si>
    <t>011003260500689</t>
  </si>
  <si>
    <t>011003260500697</t>
  </si>
  <si>
    <t>TOKO FAMILY</t>
  </si>
  <si>
    <t>011003260500700</t>
  </si>
  <si>
    <t>011003260500703</t>
  </si>
  <si>
    <t xml:space="preserve">TOKO BARU </t>
  </si>
  <si>
    <t>011003260500705</t>
  </si>
  <si>
    <t>KHARISMA SWALAYAN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</si>
</sst>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Rp&quot;\ * #,##0_);_(&quot;Rp&quot;\ * \(#,##0\);_(&quot;Rp&quot;\ * &quot;-&quot;_);_(@_)"/>
    <numFmt numFmtId="164" formatCode="_-* #,##0_-;\-* #,##0_-;_-* &quot;-&quot;??_-;_-@_-"/>
    <numFmt numFmtId="165" formatCode="_-[$Rp-3809]* #,##0_-;\-[$Rp-3809]* #,##0_-;_-[$Rp-3809]* &quot;-&quot;??_-;_-@_-"/>
    <numFmt numFmtId="166" formatCode="_-[$Rp-3809]* #,##0.00_-;\-[$Rp-3809]* #,##0.00_-;_-[$Rp-3809]* &quot;-&quot;??_-;_-@_-"/>
    <numFmt numFmtId="167" formatCode="d/mm/yy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1" fillId="0" borderId="7" xfId="0" applyFont="1" applyBorder="1"/>
    <xf numFmtId="0" fontId="4" fillId="5" borderId="8" xfId="0" quotePrefix="1" applyFont="1" applyFill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5" borderId="8" xfId="0" applyFont="1" applyFill="1" applyBorder="1" applyAlignment="1">
      <alignment vertical="center"/>
    </xf>
    <xf numFmtId="14" fontId="4" fillId="5" borderId="8" xfId="0" applyNumberFormat="1" applyFont="1" applyFill="1" applyBorder="1" applyAlignment="1">
      <alignment horizontal="left" vertical="center"/>
    </xf>
    <xf numFmtId="42" fontId="4" fillId="5" borderId="8" xfId="1" applyNumberFormat="1" applyFont="1" applyFill="1" applyBorder="1" applyAlignment="1">
      <alignment horizontal="left" vertical="center"/>
    </xf>
    <xf numFmtId="165" fontId="4" fillId="3" borderId="7" xfId="0" applyNumberFormat="1" applyFont="1" applyFill="1" applyBorder="1"/>
    <xf numFmtId="165" fontId="0" fillId="4" borderId="7" xfId="0" applyNumberFormat="1" applyFill="1" applyBorder="1"/>
    <xf numFmtId="165" fontId="0" fillId="0" borderId="7" xfId="0" applyNumberFormat="1" applyBorder="1"/>
    <xf numFmtId="0" fontId="0" fillId="0" borderId="7" xfId="0" applyBorder="1"/>
    <xf numFmtId="165" fontId="2" fillId="3" borderId="7" xfId="0" applyNumberFormat="1" applyFont="1" applyFill="1" applyBorder="1"/>
    <xf numFmtId="165" fontId="2" fillId="4" borderId="7" xfId="0" applyNumberFormat="1" applyFont="1" applyFill="1" applyBorder="1"/>
    <xf numFmtId="0" fontId="2" fillId="0" borderId="11" xfId="0" applyFont="1" applyBorder="1"/>
    <xf numFmtId="165" fontId="2" fillId="2" borderId="7" xfId="0" applyNumberFormat="1" applyFont="1" applyFill="1" applyBorder="1"/>
    <xf numFmtId="0" fontId="6" fillId="0" borderId="7" xfId="0" applyFont="1" applyBorder="1" applyAlignment="1">
      <alignment horizontal="left"/>
    </xf>
    <xf numFmtId="0" fontId="4" fillId="0" borderId="8" xfId="0" applyFont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14" fontId="4" fillId="5" borderId="8" xfId="0" applyNumberFormat="1" applyFont="1" applyFill="1" applyBorder="1" applyAlignment="1">
      <alignment horizontal="center" vertical="center"/>
    </xf>
    <xf numFmtId="42" fontId="4" fillId="5" borderId="8" xfId="1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2" fillId="0" borderId="7" xfId="0" applyFont="1" applyBorder="1"/>
    <xf numFmtId="165" fontId="2" fillId="2" borderId="11" xfId="0" applyNumberFormat="1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6" fillId="0" borderId="7" xfId="0" applyFont="1" applyBorder="1"/>
    <xf numFmtId="1" fontId="4" fillId="0" borderId="7" xfId="0" applyNumberFormat="1" applyFont="1" applyBorder="1" applyAlignment="1">
      <alignment horizontal="left"/>
    </xf>
    <xf numFmtId="0" fontId="4" fillId="0" borderId="9" xfId="0" applyFont="1" applyBorder="1"/>
    <xf numFmtId="0" fontId="4" fillId="0" borderId="8" xfId="0" applyFont="1" applyBorder="1"/>
    <xf numFmtId="14" fontId="4" fillId="0" borderId="8" xfId="0" applyNumberFormat="1" applyFont="1" applyBorder="1" applyAlignment="1">
      <alignment horizontal="center" vertical="center"/>
    </xf>
    <xf numFmtId="42" fontId="4" fillId="0" borderId="8" xfId="1" applyNumberFormat="1" applyFont="1" applyFill="1" applyBorder="1" applyAlignment="1">
      <alignment horizontal="center" vertical="center"/>
    </xf>
    <xf numFmtId="42" fontId="4" fillId="3" borderId="11" xfId="0" applyNumberFormat="1" applyFont="1" applyFill="1" applyBorder="1"/>
    <xf numFmtId="42" fontId="0" fillId="4" borderId="7" xfId="0" applyNumberFormat="1" applyFill="1" applyBorder="1"/>
    <xf numFmtId="42" fontId="2" fillId="3" borderId="7" xfId="0" applyNumberFormat="1" applyFont="1" applyFill="1" applyBorder="1"/>
    <xf numFmtId="42" fontId="2" fillId="4" borderId="7" xfId="0" applyNumberFormat="1" applyFont="1" applyFill="1" applyBorder="1"/>
    <xf numFmtId="42" fontId="2" fillId="2" borderId="1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  <xf numFmtId="0" fontId="4" fillId="0" borderId="7" xfId="0" quotePrefix="1" applyFont="1" applyBorder="1" applyAlignment="1">
      <alignment horizontal="left"/>
    </xf>
    <xf numFmtId="0" fontId="4" fillId="0" borderId="7" xfId="0" applyFont="1" applyBorder="1"/>
    <xf numFmtId="14" fontId="4" fillId="0" borderId="7" xfId="0" applyNumberFormat="1" applyFont="1" applyBorder="1" applyAlignment="1">
      <alignment horizontal="center" vertical="center"/>
    </xf>
    <xf numFmtId="42" fontId="4" fillId="0" borderId="7" xfId="1" applyNumberFormat="1" applyFont="1" applyFill="1" applyBorder="1" applyAlignment="1">
      <alignment horizontal="center" vertical="center"/>
    </xf>
    <xf numFmtId="42" fontId="4" fillId="3" borderId="7" xfId="0" applyNumberFormat="1" applyFont="1" applyFill="1" applyBorder="1"/>
    <xf numFmtId="0" fontId="0" fillId="4" borderId="7" xfId="0" applyFill="1" applyBorder="1"/>
    <xf numFmtId="0" fontId="0" fillId="0" borderId="7" xfId="0" quotePrefix="1" applyBorder="1" applyAlignment="1">
      <alignment horizontal="left"/>
    </xf>
    <xf numFmtId="14" fontId="0" fillId="0" borderId="7" xfId="0" applyNumberFormat="1" applyBorder="1"/>
    <xf numFmtId="42" fontId="2" fillId="0" borderId="7" xfId="0" applyNumberFormat="1" applyFont="1" applyBorder="1"/>
    <xf numFmtId="0" fontId="2" fillId="0" borderId="1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42" fontId="2" fillId="2" borderId="7" xfId="0" applyNumberFormat="1" applyFont="1" applyFill="1" applyBorder="1"/>
    <xf numFmtId="42" fontId="0" fillId="0" borderId="0" xfId="0" applyNumberFormat="1"/>
    <xf numFmtId="42" fontId="2" fillId="3" borderId="6" xfId="0" applyNumberFormat="1" applyFont="1" applyFill="1" applyBorder="1"/>
    <xf numFmtId="42" fontId="2" fillId="4" borderId="6" xfId="0" applyNumberFormat="1" applyFont="1" applyFill="1" applyBorder="1"/>
    <xf numFmtId="0" fontId="2" fillId="0" borderId="6" xfId="0" applyFont="1" applyBorder="1"/>
    <xf numFmtId="42" fontId="2" fillId="2" borderId="15" xfId="0" applyNumberFormat="1" applyFont="1" applyFill="1" applyBorder="1" applyAlignment="1">
      <alignment horizontal="center"/>
    </xf>
    <xf numFmtId="165" fontId="2" fillId="2" borderId="6" xfId="0" applyNumberFormat="1" applyFont="1" applyFill="1" applyBorder="1"/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42" fontId="0" fillId="0" borderId="7" xfId="0" applyNumberFormat="1" applyBorder="1" applyAlignment="1">
      <alignment horizontal="center"/>
    </xf>
    <xf numFmtId="42" fontId="7" fillId="6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4" fillId="0" borderId="7" xfId="0" applyFont="1" applyBorder="1" applyAlignment="1">
      <alignment horizontal="left"/>
    </xf>
    <xf numFmtId="42" fontId="7" fillId="0" borderId="7" xfId="0" applyNumberFormat="1" applyFont="1" applyBorder="1" applyAlignment="1">
      <alignment horizontal="center"/>
    </xf>
    <xf numFmtId="14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165" fontId="0" fillId="0" borderId="7" xfId="0" applyNumberForma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7" fillId="3" borderId="7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42" fontId="0" fillId="3" borderId="7" xfId="0" applyNumberFormat="1" applyFill="1" applyBorder="1" applyAlignment="1">
      <alignment horizontal="center"/>
    </xf>
    <xf numFmtId="42" fontId="7" fillId="3" borderId="7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0" fillId="0" borderId="7" xfId="0" quotePrefix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165" fontId="2" fillId="4" borderId="11" xfId="0" applyNumberFormat="1" applyFont="1" applyFill="1" applyBorder="1"/>
    <xf numFmtId="165" fontId="0" fillId="4" borderId="6" xfId="0" applyNumberFormat="1" applyFill="1" applyBorder="1"/>
    <xf numFmtId="165" fontId="0" fillId="0" borderId="6" xfId="0" applyNumberFormat="1" applyBorder="1"/>
    <xf numFmtId="0" fontId="2" fillId="2" borderId="9" xfId="0" applyFont="1" applyFill="1" applyBorder="1" applyAlignment="1">
      <alignment horizontal="center" vertical="center"/>
    </xf>
    <xf numFmtId="42" fontId="4" fillId="5" borderId="16" xfId="1" applyNumberFormat="1" applyFont="1" applyFill="1" applyBorder="1" applyAlignment="1">
      <alignment horizontal="left" vertical="center"/>
    </xf>
    <xf numFmtId="42" fontId="4" fillId="5" borderId="17" xfId="1" applyNumberFormat="1" applyFont="1" applyFill="1" applyBorder="1" applyAlignment="1">
      <alignment horizontal="left" vertical="center"/>
    </xf>
    <xf numFmtId="42" fontId="4" fillId="3" borderId="7" xfId="1" applyNumberFormat="1" applyFont="1" applyFill="1" applyBorder="1" applyAlignment="1">
      <alignment horizontal="left" vertical="center"/>
    </xf>
    <xf numFmtId="14" fontId="4" fillId="5" borderId="17" xfId="0" applyNumberFormat="1" applyFont="1" applyFill="1" applyBorder="1" applyAlignment="1">
      <alignment horizontal="center" vertical="center"/>
    </xf>
    <xf numFmtId="42" fontId="4" fillId="5" borderId="7" xfId="1" applyNumberFormat="1" applyFont="1" applyFill="1" applyBorder="1" applyAlignment="1">
      <alignment horizontal="center" vertical="center"/>
    </xf>
    <xf numFmtId="42" fontId="4" fillId="3" borderId="7" xfId="1" applyNumberFormat="1" applyFont="1" applyFill="1" applyBorder="1" applyAlignment="1">
      <alignment horizontal="center" vertical="center"/>
    </xf>
    <xf numFmtId="42" fontId="2" fillId="2" borderId="10" xfId="0" applyNumberFormat="1" applyFont="1" applyFill="1" applyBorder="1" applyAlignment="1">
      <alignment horizontal="center"/>
    </xf>
    <xf numFmtId="165" fontId="0" fillId="3" borderId="7" xfId="0" applyNumberFormat="1" applyFill="1" applyBorder="1"/>
    <xf numFmtId="0" fontId="2" fillId="3" borderId="7" xfId="0" applyFont="1" applyFill="1" applyBorder="1" applyAlignment="1">
      <alignment horizontal="center" vertical="center" wrapText="1"/>
    </xf>
    <xf numFmtId="42" fontId="2" fillId="0" borderId="0" xfId="0" applyNumberFormat="1" applyFont="1"/>
    <xf numFmtId="0" fontId="2" fillId="0" borderId="0" xfId="0" applyFont="1"/>
    <xf numFmtId="42" fontId="2" fillId="0" borderId="0" xfId="0" applyNumberFormat="1" applyFont="1" applyAlignment="1">
      <alignment horizontal="center"/>
    </xf>
    <xf numFmtId="0" fontId="2" fillId="4" borderId="7" xfId="0" applyFont="1" applyFill="1" applyBorder="1" applyAlignment="1">
      <alignment horizontal="center"/>
    </xf>
    <xf numFmtId="42" fontId="2" fillId="3" borderId="11" xfId="0" applyNumberFormat="1" applyFont="1" applyFill="1" applyBorder="1" applyAlignment="1">
      <alignment horizontal="center"/>
    </xf>
    <xf numFmtId="42" fontId="2" fillId="3" borderId="15" xfId="0" applyNumberFormat="1" applyFont="1" applyFill="1" applyBorder="1" applyAlignment="1">
      <alignment horizontal="center"/>
    </xf>
    <xf numFmtId="165" fontId="2" fillId="3" borderId="7" xfId="0" applyNumberFormat="1" applyFont="1" applyFill="1" applyBorder="1" applyAlignment="1">
      <alignment horizontal="center"/>
    </xf>
    <xf numFmtId="165" fontId="2" fillId="3" borderId="11" xfId="0" applyNumberFormat="1" applyFont="1" applyFill="1" applyBorder="1" applyAlignment="1">
      <alignment horizontal="center"/>
    </xf>
    <xf numFmtId="42" fontId="2" fillId="3" borderId="7" xfId="0" applyNumberFormat="1" applyFont="1" applyFill="1" applyBorder="1" applyAlignment="1">
      <alignment horizontal="center"/>
    </xf>
    <xf numFmtId="166" fontId="9" fillId="0" borderId="0" xfId="0" applyNumberFormat="1" applyFont="1"/>
    <xf numFmtId="165" fontId="10" fillId="2" borderId="7" xfId="0" applyNumberFormat="1" applyFont="1" applyFill="1" applyBorder="1"/>
    <xf numFmtId="165" fontId="10" fillId="0" borderId="0" xfId="0" applyNumberFormat="1" applyFont="1"/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42" fontId="8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center" vertical="center"/>
    </xf>
    <xf numFmtId="165" fontId="10" fillId="2" borderId="6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66" fontId="2" fillId="3" borderId="7" xfId="0" applyNumberFormat="1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6" fontId="2" fillId="2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Comma 2" xfId="1" xr:uid="{46B4CCDE-4BEB-4CB8-A276-072DBEDFD1CF}"/>
    <cellStyle name="Normal" xfId="0" builtinId="0"/>
  </cellStyles>
  <dxfs count="0"/>
  <tableStyles count="0" defaultTableStyle="TableStyleMedium2" defaultPivotStyle="PivotStyleLight16"/>
  <colors>
    <mruColors>
      <color rgb="FF66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219F-5E10-4E38-8CD0-882065D861F8}">
  <dimension ref="B2:P59"/>
  <sheetViews>
    <sheetView workbookViewId="0">
      <selection sqref="A1:XFD1048576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1.42578125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38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18</v>
      </c>
      <c r="E8" s="10" t="s">
        <v>19</v>
      </c>
      <c r="F8" s="11" t="s">
        <v>20</v>
      </c>
      <c r="G8" s="12">
        <v>46115</v>
      </c>
      <c r="H8" s="12">
        <v>46129</v>
      </c>
      <c r="I8" s="13">
        <v>555700</v>
      </c>
      <c r="J8" s="14"/>
      <c r="K8" s="15">
        <f t="shared" ref="K8:K10" si="0">I8</f>
        <v>555700</v>
      </c>
      <c r="L8" s="16"/>
      <c r="M8" s="16"/>
      <c r="N8" s="17"/>
    </row>
    <row r="9" spans="2:16" x14ac:dyDescent="0.25">
      <c r="B9" s="7">
        <v>2</v>
      </c>
      <c r="C9" s="8"/>
      <c r="D9" s="9" t="s">
        <v>40</v>
      </c>
      <c r="E9" s="10" t="s">
        <v>41</v>
      </c>
      <c r="F9" s="11" t="s">
        <v>42</v>
      </c>
      <c r="G9" s="12">
        <v>46130</v>
      </c>
      <c r="H9" s="12">
        <v>46143</v>
      </c>
      <c r="I9" s="13">
        <v>217500</v>
      </c>
      <c r="J9" s="14"/>
      <c r="K9" s="15">
        <f t="shared" si="0"/>
        <v>217500</v>
      </c>
      <c r="L9" s="16"/>
      <c r="M9" s="16"/>
      <c r="N9" s="17"/>
    </row>
    <row r="10" spans="2:16" x14ac:dyDescent="0.25">
      <c r="B10" s="7">
        <v>3</v>
      </c>
      <c r="C10" s="8"/>
      <c r="D10" s="9" t="s">
        <v>43</v>
      </c>
      <c r="E10" s="10" t="s">
        <v>44</v>
      </c>
      <c r="F10" s="11" t="s">
        <v>39</v>
      </c>
      <c r="G10" s="12">
        <v>46130</v>
      </c>
      <c r="H10" s="12">
        <v>46143</v>
      </c>
      <c r="I10" s="13">
        <v>628500</v>
      </c>
      <c r="J10" s="14"/>
      <c r="K10" s="15">
        <f t="shared" si="0"/>
        <v>628500</v>
      </c>
      <c r="L10" s="16"/>
      <c r="M10" s="16"/>
      <c r="N10" s="17"/>
    </row>
    <row r="11" spans="2:16" ht="15.75" x14ac:dyDescent="0.25">
      <c r="B11" s="122" t="s">
        <v>12</v>
      </c>
      <c r="C11" s="123"/>
      <c r="D11" s="123"/>
      <c r="E11" s="123"/>
      <c r="F11" s="123"/>
      <c r="G11" s="123"/>
      <c r="H11" s="123"/>
      <c r="I11" s="124"/>
      <c r="J11" s="18">
        <f>SUM(J8:J10)</f>
        <v>0</v>
      </c>
      <c r="K11" s="19">
        <f>SUM(K8:K10)</f>
        <v>1401700</v>
      </c>
      <c r="L11" s="20"/>
      <c r="M11" s="21">
        <f>SUM(J11+K11)</f>
        <v>1401700</v>
      </c>
      <c r="N11" s="21"/>
    </row>
    <row r="12" spans="2:16" ht="15.75" x14ac:dyDescent="0.25">
      <c r="B12" s="141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72"/>
    </row>
    <row r="13" spans="2:16" x14ac:dyDescent="0.25">
      <c r="B13" s="7">
        <v>1</v>
      </c>
      <c r="C13" s="22" t="s">
        <v>21</v>
      </c>
      <c r="D13" s="9" t="s">
        <v>45</v>
      </c>
      <c r="E13" s="23" t="s">
        <v>46</v>
      </c>
      <c r="F13" s="24" t="s">
        <v>47</v>
      </c>
      <c r="G13" s="25">
        <v>46115</v>
      </c>
      <c r="H13" s="25">
        <v>46129</v>
      </c>
      <c r="I13" s="26">
        <v>422400</v>
      </c>
      <c r="J13" s="14"/>
      <c r="K13" s="15">
        <f>I13</f>
        <v>422400</v>
      </c>
      <c r="L13" s="16" t="s">
        <v>89</v>
      </c>
      <c r="M13" s="16"/>
      <c r="N13" s="17"/>
    </row>
    <row r="14" spans="2:16" x14ac:dyDescent="0.25">
      <c r="B14" s="7">
        <v>2</v>
      </c>
      <c r="C14" s="22"/>
      <c r="D14" s="9" t="s">
        <v>48</v>
      </c>
      <c r="E14" s="23" t="s">
        <v>49</v>
      </c>
      <c r="F14" s="24" t="s">
        <v>50</v>
      </c>
      <c r="G14" s="25">
        <v>46115</v>
      </c>
      <c r="H14" s="25">
        <v>46129</v>
      </c>
      <c r="I14" s="26">
        <v>211200</v>
      </c>
      <c r="J14" s="14"/>
      <c r="K14" s="15">
        <f t="shared" ref="K14:K17" si="1">I14</f>
        <v>211200</v>
      </c>
      <c r="L14" s="16" t="s">
        <v>89</v>
      </c>
      <c r="M14" s="16"/>
      <c r="N14" s="17"/>
    </row>
    <row r="15" spans="2:16" x14ac:dyDescent="0.25">
      <c r="B15" s="7">
        <v>3</v>
      </c>
      <c r="C15" s="22"/>
      <c r="D15" s="9" t="s">
        <v>52</v>
      </c>
      <c r="E15" s="23" t="s">
        <v>53</v>
      </c>
      <c r="F15" s="24" t="s">
        <v>54</v>
      </c>
      <c r="G15" s="25">
        <v>46130</v>
      </c>
      <c r="H15" s="25">
        <v>46143</v>
      </c>
      <c r="I15" s="26">
        <v>364500</v>
      </c>
      <c r="J15" s="14"/>
      <c r="K15" s="15">
        <f t="shared" si="1"/>
        <v>364500</v>
      </c>
      <c r="L15" s="16" t="s">
        <v>89</v>
      </c>
      <c r="M15" s="16"/>
      <c r="N15" s="17"/>
    </row>
    <row r="16" spans="2:16" x14ac:dyDescent="0.25">
      <c r="B16" s="7">
        <v>4</v>
      </c>
      <c r="C16" s="22"/>
      <c r="D16" s="9" t="s">
        <v>55</v>
      </c>
      <c r="E16" s="23" t="s">
        <v>56</v>
      </c>
      <c r="F16" s="24" t="s">
        <v>51</v>
      </c>
      <c r="G16" s="25">
        <v>46130</v>
      </c>
      <c r="H16" s="25">
        <v>46143</v>
      </c>
      <c r="I16" s="26">
        <v>130500</v>
      </c>
      <c r="J16" s="14"/>
      <c r="K16" s="15">
        <f t="shared" si="1"/>
        <v>130500</v>
      </c>
      <c r="L16" s="16" t="s">
        <v>89</v>
      </c>
      <c r="M16" s="16"/>
      <c r="N16" s="17"/>
    </row>
    <row r="17" spans="2:14" x14ac:dyDescent="0.25">
      <c r="B17" s="7">
        <v>5</v>
      </c>
      <c r="C17" s="22"/>
      <c r="D17" s="9" t="s">
        <v>57</v>
      </c>
      <c r="E17" s="23" t="s">
        <v>58</v>
      </c>
      <c r="F17" s="24" t="s">
        <v>54</v>
      </c>
      <c r="G17" s="25">
        <v>46130</v>
      </c>
      <c r="H17" s="25">
        <v>46143</v>
      </c>
      <c r="I17" s="26">
        <v>80000</v>
      </c>
      <c r="J17" s="14"/>
      <c r="K17" s="15">
        <f t="shared" si="1"/>
        <v>80000</v>
      </c>
      <c r="L17" s="16" t="s">
        <v>89</v>
      </c>
      <c r="M17" s="16"/>
      <c r="N17" s="17"/>
    </row>
    <row r="18" spans="2:14" ht="15.75" x14ac:dyDescent="0.25">
      <c r="B18" s="143" t="s">
        <v>12</v>
      </c>
      <c r="C18" s="144"/>
      <c r="D18" s="144"/>
      <c r="E18" s="144"/>
      <c r="F18" s="144"/>
      <c r="G18" s="144"/>
      <c r="H18" s="144"/>
      <c r="I18" s="170"/>
      <c r="J18" s="18">
        <f>SUM(J13:J17)</f>
        <v>0</v>
      </c>
      <c r="K18" s="19">
        <f>SUM(K13:K17)</f>
        <v>1208600</v>
      </c>
      <c r="L18" s="28"/>
      <c r="M18" s="29">
        <f>SUM(J18+K18)</f>
        <v>1208600</v>
      </c>
      <c r="N18" s="21"/>
    </row>
    <row r="19" spans="2:14" ht="15.75" x14ac:dyDescent="0.25"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71"/>
    </row>
    <row r="20" spans="2:14" x14ac:dyDescent="0.25">
      <c r="B20" s="30">
        <v>1</v>
      </c>
      <c r="C20" s="31" t="s">
        <v>22</v>
      </c>
      <c r="D20" s="32" t="s">
        <v>59</v>
      </c>
      <c r="E20" s="33" t="s">
        <v>60</v>
      </c>
      <c r="F20" s="34" t="s">
        <v>61</v>
      </c>
      <c r="G20" s="35">
        <v>46130</v>
      </c>
      <c r="H20" s="35">
        <v>46143</v>
      </c>
      <c r="I20" s="36">
        <v>130500</v>
      </c>
      <c r="J20" s="37"/>
      <c r="K20" s="38">
        <f>I20</f>
        <v>130500</v>
      </c>
      <c r="L20" s="16" t="s">
        <v>89</v>
      </c>
      <c r="M20" s="16"/>
      <c r="N20" s="17"/>
    </row>
    <row r="21" spans="2:14" ht="15.75" x14ac:dyDescent="0.25">
      <c r="B21" s="157" t="s">
        <v>12</v>
      </c>
      <c r="C21" s="158"/>
      <c r="D21" s="158"/>
      <c r="E21" s="158"/>
      <c r="F21" s="158"/>
      <c r="G21" s="158"/>
      <c r="H21" s="158"/>
      <c r="I21" s="159"/>
      <c r="J21" s="39">
        <f>SUM(J20:J20)</f>
        <v>0</v>
      </c>
      <c r="K21" s="40">
        <f>SUM(K20:K20)</f>
        <v>130500</v>
      </c>
      <c r="L21" s="28"/>
      <c r="M21" s="41">
        <f>SUM(K21+J21)</f>
        <v>130500</v>
      </c>
      <c r="N21" s="21"/>
    </row>
    <row r="22" spans="2:14" x14ac:dyDescent="0.25">
      <c r="D22" s="42"/>
      <c r="I22" s="43"/>
      <c r="N22" s="44"/>
    </row>
    <row r="23" spans="2:14" x14ac:dyDescent="0.25">
      <c r="D23" s="42"/>
      <c r="I23" s="43"/>
      <c r="N23" s="44"/>
    </row>
    <row r="24" spans="2:14" ht="15.75" x14ac:dyDescent="0.25">
      <c r="D24" s="42"/>
      <c r="G24" s="150" t="s">
        <v>23</v>
      </c>
      <c r="H24" s="150"/>
      <c r="I24" s="150"/>
      <c r="J24" s="18">
        <f>SUM(J21+J18+J11)</f>
        <v>0</v>
      </c>
      <c r="K24" s="40">
        <f>SUM(K21+K18+K11)</f>
        <v>2740800</v>
      </c>
      <c r="L24" s="28"/>
      <c r="M24" s="28"/>
      <c r="N24" s="21">
        <f>SUM(J24+K24)</f>
        <v>2740800</v>
      </c>
    </row>
    <row r="25" spans="2:14" x14ac:dyDescent="0.25">
      <c r="D25" s="42"/>
      <c r="I25" s="43"/>
      <c r="N25" s="44"/>
    </row>
    <row r="26" spans="2:14" x14ac:dyDescent="0.25">
      <c r="B26" s="160" t="s">
        <v>24</v>
      </c>
      <c r="C26" s="160"/>
      <c r="D26" s="160"/>
      <c r="I26" s="43"/>
      <c r="N26" s="44"/>
    </row>
    <row r="27" spans="2:14" ht="15.75" x14ac:dyDescent="0.25">
      <c r="B27" s="154" t="s">
        <v>3</v>
      </c>
      <c r="C27" s="161" t="s">
        <v>25</v>
      </c>
      <c r="D27" s="154" t="s">
        <v>5</v>
      </c>
      <c r="E27" s="154" t="s">
        <v>6</v>
      </c>
      <c r="F27" s="154" t="s">
        <v>7</v>
      </c>
      <c r="G27" s="154" t="s">
        <v>8</v>
      </c>
      <c r="H27" s="154" t="s">
        <v>9</v>
      </c>
      <c r="I27" s="161" t="s">
        <v>26</v>
      </c>
      <c r="J27" s="143" t="s">
        <v>11</v>
      </c>
      <c r="K27" s="144"/>
      <c r="L27" s="170"/>
      <c r="M27" s="133" t="s">
        <v>12</v>
      </c>
      <c r="N27" s="154" t="s">
        <v>13</v>
      </c>
    </row>
    <row r="28" spans="2:14" ht="15.75" x14ac:dyDescent="0.25">
      <c r="B28" s="155"/>
      <c r="C28" s="162"/>
      <c r="D28" s="155"/>
      <c r="E28" s="155"/>
      <c r="F28" s="155"/>
      <c r="G28" s="155"/>
      <c r="H28" s="155"/>
      <c r="I28" s="162"/>
      <c r="J28" s="4" t="s">
        <v>14</v>
      </c>
      <c r="K28" s="5" t="s">
        <v>15</v>
      </c>
      <c r="L28" s="6" t="s">
        <v>16</v>
      </c>
      <c r="M28" s="134"/>
      <c r="N28" s="155"/>
    </row>
    <row r="29" spans="2:14" ht="15" customHeight="1" x14ac:dyDescent="0.25">
      <c r="B29" s="27">
        <v>1</v>
      </c>
      <c r="C29" s="31" t="s">
        <v>87</v>
      </c>
      <c r="D29" s="45" t="s">
        <v>62</v>
      </c>
      <c r="E29" s="46" t="s">
        <v>63</v>
      </c>
      <c r="F29" s="46" t="s">
        <v>64</v>
      </c>
      <c r="G29" s="47">
        <v>46143</v>
      </c>
      <c r="H29" s="47"/>
      <c r="I29" s="48">
        <v>1063000</v>
      </c>
      <c r="J29" s="49">
        <f>I29</f>
        <v>1063000</v>
      </c>
      <c r="K29" s="50"/>
      <c r="L29" s="16" t="s">
        <v>89</v>
      </c>
      <c r="M29" s="17"/>
      <c r="N29" s="17"/>
    </row>
    <row r="30" spans="2:14" ht="15" customHeight="1" x14ac:dyDescent="0.25">
      <c r="B30" s="27">
        <v>2</v>
      </c>
      <c r="C30" s="31" t="s">
        <v>87</v>
      </c>
      <c r="D30" s="45" t="s">
        <v>65</v>
      </c>
      <c r="E30" s="46" t="s">
        <v>66</v>
      </c>
      <c r="F30" s="46" t="s">
        <v>67</v>
      </c>
      <c r="G30" s="47">
        <v>46143</v>
      </c>
      <c r="H30" s="47"/>
      <c r="I30" s="48">
        <v>551500</v>
      </c>
      <c r="J30" s="49">
        <f t="shared" ref="J30:J32" si="2">I30</f>
        <v>551500</v>
      </c>
      <c r="K30" s="38"/>
      <c r="L30" s="16" t="s">
        <v>89</v>
      </c>
      <c r="M30" s="17"/>
      <c r="N30" s="17"/>
    </row>
    <row r="31" spans="2:14" ht="15" customHeight="1" x14ac:dyDescent="0.25">
      <c r="B31" s="27">
        <v>3</v>
      </c>
      <c r="C31" s="31" t="s">
        <v>87</v>
      </c>
      <c r="D31" s="45" t="s">
        <v>68</v>
      </c>
      <c r="E31" s="46" t="s">
        <v>69</v>
      </c>
      <c r="F31" s="46" t="s">
        <v>67</v>
      </c>
      <c r="G31" s="47">
        <v>46143</v>
      </c>
      <c r="H31" s="47"/>
      <c r="I31" s="48">
        <v>551500</v>
      </c>
      <c r="J31" s="49">
        <f t="shared" si="2"/>
        <v>551500</v>
      </c>
      <c r="K31" s="38"/>
      <c r="L31" s="16" t="s">
        <v>89</v>
      </c>
      <c r="M31" s="17"/>
      <c r="N31" s="17"/>
    </row>
    <row r="32" spans="2:14" ht="15" customHeight="1" x14ac:dyDescent="0.25">
      <c r="B32" s="27">
        <v>4</v>
      </c>
      <c r="C32" s="31" t="s">
        <v>87</v>
      </c>
      <c r="D32" s="51" t="s">
        <v>70</v>
      </c>
      <c r="E32" s="17" t="s">
        <v>71</v>
      </c>
      <c r="F32" s="17" t="s">
        <v>72</v>
      </c>
      <c r="G32" s="52">
        <v>46143</v>
      </c>
      <c r="H32" s="52"/>
      <c r="I32" s="16">
        <v>215100</v>
      </c>
      <c r="J32" s="49">
        <f t="shared" si="2"/>
        <v>215100</v>
      </c>
      <c r="K32" s="50"/>
      <c r="L32" s="16" t="s">
        <v>89</v>
      </c>
      <c r="M32" s="17"/>
      <c r="N32" s="17"/>
    </row>
    <row r="33" spans="2:14" ht="15.75" x14ac:dyDescent="0.25">
      <c r="B33" s="122" t="s">
        <v>27</v>
      </c>
      <c r="C33" s="123"/>
      <c r="D33" s="123"/>
      <c r="E33" s="123"/>
      <c r="F33" s="123"/>
      <c r="G33" s="123"/>
      <c r="H33" s="123"/>
      <c r="I33" s="124"/>
      <c r="J33" s="39">
        <f>SUM(J29:J32)</f>
        <v>2381100</v>
      </c>
      <c r="K33" s="40">
        <f>SUM(K29:K32)</f>
        <v>0</v>
      </c>
      <c r="L33" s="28"/>
      <c r="M33" s="41">
        <f>SUM(J33+K33)</f>
        <v>2381100</v>
      </c>
      <c r="N33" s="53"/>
    </row>
    <row r="34" spans="2:14" ht="15.75" x14ac:dyDescent="0.25">
      <c r="B34" s="139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63"/>
    </row>
    <row r="35" spans="2:14" x14ac:dyDescent="0.25">
      <c r="B35" s="55">
        <v>1</v>
      </c>
      <c r="C35" s="8" t="s">
        <v>88</v>
      </c>
      <c r="D35" s="51" t="s">
        <v>80</v>
      </c>
      <c r="E35" s="51" t="s">
        <v>85</v>
      </c>
      <c r="F35" s="17" t="s">
        <v>47</v>
      </c>
      <c r="G35" s="47">
        <v>46143</v>
      </c>
      <c r="H35" s="52"/>
      <c r="I35" s="16">
        <v>1954400</v>
      </c>
      <c r="J35" s="49">
        <f>I35</f>
        <v>1954400</v>
      </c>
      <c r="K35" s="50"/>
      <c r="L35" s="16" t="s">
        <v>89</v>
      </c>
      <c r="M35" s="17"/>
      <c r="N35" s="17"/>
    </row>
    <row r="36" spans="2:14" x14ac:dyDescent="0.25">
      <c r="B36" s="27">
        <v>2</v>
      </c>
      <c r="C36" s="8" t="s">
        <v>88</v>
      </c>
      <c r="D36" s="51" t="s">
        <v>84</v>
      </c>
      <c r="E36" s="51" t="s">
        <v>78</v>
      </c>
      <c r="F36" s="17" t="s">
        <v>73</v>
      </c>
      <c r="G36" s="47">
        <v>46143</v>
      </c>
      <c r="H36" s="52"/>
      <c r="I36" s="16">
        <v>756100</v>
      </c>
      <c r="J36" s="49">
        <f t="shared" ref="J36:J38" si="3">I36</f>
        <v>756100</v>
      </c>
      <c r="K36" s="50"/>
      <c r="L36" s="16" t="s">
        <v>89</v>
      </c>
      <c r="M36" s="17"/>
      <c r="N36" s="17"/>
    </row>
    <row r="37" spans="2:14" x14ac:dyDescent="0.25">
      <c r="B37" s="55">
        <v>3</v>
      </c>
      <c r="C37" s="8" t="s">
        <v>88</v>
      </c>
      <c r="D37" s="51" t="s">
        <v>83</v>
      </c>
      <c r="E37" s="51" t="s">
        <v>74</v>
      </c>
      <c r="F37" s="17" t="s">
        <v>75</v>
      </c>
      <c r="G37" s="47">
        <v>46143</v>
      </c>
      <c r="H37" s="52"/>
      <c r="I37" s="16">
        <v>1614500</v>
      </c>
      <c r="J37" s="49">
        <f t="shared" si="3"/>
        <v>1614500</v>
      </c>
      <c r="K37" s="50"/>
      <c r="L37" s="16" t="s">
        <v>89</v>
      </c>
      <c r="M37" s="17"/>
      <c r="N37" s="17"/>
    </row>
    <row r="38" spans="2:14" x14ac:dyDescent="0.25">
      <c r="B38" s="27">
        <v>4</v>
      </c>
      <c r="C38" s="8" t="s">
        <v>88</v>
      </c>
      <c r="D38" s="51" t="s">
        <v>86</v>
      </c>
      <c r="E38" s="51" t="s">
        <v>79</v>
      </c>
      <c r="F38" s="17" t="s">
        <v>75</v>
      </c>
      <c r="G38" s="47">
        <v>46143</v>
      </c>
      <c r="H38" s="52"/>
      <c r="I38" s="16">
        <v>960700</v>
      </c>
      <c r="J38" s="49">
        <f t="shared" si="3"/>
        <v>960700</v>
      </c>
      <c r="K38" s="15"/>
      <c r="L38" s="16" t="s">
        <v>89</v>
      </c>
      <c r="M38" s="17"/>
      <c r="N38" s="17"/>
    </row>
    <row r="39" spans="2:14" x14ac:dyDescent="0.25">
      <c r="B39" s="55">
        <v>5</v>
      </c>
      <c r="C39" s="8" t="s">
        <v>88</v>
      </c>
      <c r="D39" s="51" t="s">
        <v>82</v>
      </c>
      <c r="E39" s="51" t="s">
        <v>74</v>
      </c>
      <c r="F39" s="17" t="s">
        <v>75</v>
      </c>
      <c r="G39" s="47">
        <v>46143</v>
      </c>
      <c r="H39" s="52"/>
      <c r="I39" s="16">
        <v>34278</v>
      </c>
      <c r="J39" s="49"/>
      <c r="K39" s="15">
        <f>I39</f>
        <v>34278</v>
      </c>
      <c r="L39" s="16" t="s">
        <v>89</v>
      </c>
      <c r="M39" s="17"/>
      <c r="N39" s="17"/>
    </row>
    <row r="40" spans="2:14" x14ac:dyDescent="0.25">
      <c r="B40" s="27">
        <v>6</v>
      </c>
      <c r="C40" s="8" t="s">
        <v>88</v>
      </c>
      <c r="D40" s="51" t="s">
        <v>81</v>
      </c>
      <c r="E40" s="51" t="s">
        <v>76</v>
      </c>
      <c r="F40" s="17" t="s">
        <v>77</v>
      </c>
      <c r="G40" s="47">
        <v>46143</v>
      </c>
      <c r="H40" s="52"/>
      <c r="I40" s="16">
        <v>21500</v>
      </c>
      <c r="J40" s="49"/>
      <c r="K40" s="15">
        <f>I40</f>
        <v>21500</v>
      </c>
      <c r="L40" s="16" t="s">
        <v>89</v>
      </c>
      <c r="M40" s="17"/>
      <c r="N40" s="17"/>
    </row>
    <row r="41" spans="2:14" ht="15.75" x14ac:dyDescent="0.25">
      <c r="B41" s="122" t="s">
        <v>27</v>
      </c>
      <c r="C41" s="123"/>
      <c r="D41" s="123"/>
      <c r="E41" s="123"/>
      <c r="F41" s="123"/>
      <c r="G41" s="123"/>
      <c r="H41" s="123"/>
      <c r="I41" s="124"/>
      <c r="J41" s="39">
        <f>SUM(J35:J40)</f>
        <v>5285700</v>
      </c>
      <c r="K41" s="40">
        <f>SUM(K35:K40)</f>
        <v>55778</v>
      </c>
      <c r="L41" s="28"/>
      <c r="M41" s="41">
        <f>SUM(J41+K41)</f>
        <v>5341478</v>
      </c>
      <c r="N41" s="53"/>
    </row>
    <row r="42" spans="2:14" x14ac:dyDescent="0.25">
      <c r="D42" s="42"/>
      <c r="I42" s="43"/>
    </row>
    <row r="43" spans="2:14" ht="15.75" x14ac:dyDescent="0.25">
      <c r="D43" s="42"/>
      <c r="H43" s="164" t="s">
        <v>28</v>
      </c>
      <c r="I43" s="165"/>
      <c r="J43" s="39">
        <f>SUM(J41+J33)</f>
        <v>7666800</v>
      </c>
      <c r="K43" s="40">
        <f>SUM(K41+K33)</f>
        <v>55778</v>
      </c>
      <c r="L43" s="28"/>
      <c r="M43" s="54"/>
      <c r="N43" s="21">
        <f>SUM(M41+M33)</f>
        <v>7722578</v>
      </c>
    </row>
    <row r="44" spans="2:14" x14ac:dyDescent="0.25">
      <c r="D44" s="42"/>
      <c r="I44" s="43"/>
    </row>
    <row r="45" spans="2:14" x14ac:dyDescent="0.25">
      <c r="D45" s="42"/>
      <c r="H45" s="166" t="s">
        <v>29</v>
      </c>
      <c r="I45" s="167"/>
      <c r="J45" s="56" t="s">
        <v>14</v>
      </c>
      <c r="K45" s="57" t="s">
        <v>15</v>
      </c>
      <c r="L45" s="17"/>
      <c r="M45" s="17"/>
      <c r="N45" s="17"/>
    </row>
    <row r="46" spans="2:14" ht="15.75" x14ac:dyDescent="0.25">
      <c r="D46" s="42"/>
      <c r="H46" s="168"/>
      <c r="I46" s="169"/>
      <c r="J46" s="39">
        <f>SUM(J43+J24)</f>
        <v>7666800</v>
      </c>
      <c r="K46" s="40">
        <f>SUM(K43+K24)</f>
        <v>2796578</v>
      </c>
      <c r="L46" s="28"/>
      <c r="M46" s="28"/>
      <c r="N46" s="58">
        <f>SUM(K46+J46)</f>
        <v>10463378</v>
      </c>
    </row>
    <row r="47" spans="2:14" x14ac:dyDescent="0.25">
      <c r="D47" s="42"/>
      <c r="I47" s="43"/>
      <c r="N47" s="59"/>
    </row>
    <row r="48" spans="2:14" x14ac:dyDescent="0.25">
      <c r="D48" s="2" t="s">
        <v>30</v>
      </c>
      <c r="E48" s="1"/>
      <c r="F48" s="1"/>
      <c r="G48" s="1"/>
      <c r="H48" s="1"/>
      <c r="I48" s="1"/>
      <c r="J48" s="1"/>
    </row>
    <row r="49" spans="4:10" x14ac:dyDescent="0.25">
      <c r="D49" s="2"/>
      <c r="E49" s="1"/>
      <c r="F49" s="1"/>
      <c r="G49" s="1"/>
      <c r="H49" s="1"/>
      <c r="I49" s="1"/>
      <c r="J49" s="1"/>
    </row>
    <row r="50" spans="4:10" x14ac:dyDescent="0.25">
      <c r="D50" s="3" t="s">
        <v>31</v>
      </c>
      <c r="E50" s="3"/>
      <c r="F50" s="3" t="s">
        <v>32</v>
      </c>
      <c r="G50" s="3"/>
      <c r="H50" s="3" t="s">
        <v>33</v>
      </c>
      <c r="I50" s="3"/>
      <c r="J50" s="3" t="s">
        <v>34</v>
      </c>
    </row>
    <row r="51" spans="4:10" x14ac:dyDescent="0.25">
      <c r="D51" s="3"/>
      <c r="E51" s="3"/>
      <c r="F51" s="3"/>
      <c r="G51" s="3"/>
      <c r="H51" s="3"/>
      <c r="I51" s="3"/>
      <c r="J51" s="3"/>
    </row>
    <row r="52" spans="4:10" x14ac:dyDescent="0.25">
      <c r="D52" s="3"/>
      <c r="E52" s="3"/>
      <c r="F52" s="3"/>
      <c r="G52" s="3"/>
      <c r="H52" s="3"/>
      <c r="I52" s="3"/>
      <c r="J52" s="3"/>
    </row>
    <row r="53" spans="4:10" x14ac:dyDescent="0.25">
      <c r="D53" s="3"/>
      <c r="E53" s="3"/>
      <c r="F53" s="3"/>
      <c r="G53" s="3"/>
      <c r="H53" s="3"/>
      <c r="I53" s="3"/>
      <c r="J53" s="3"/>
    </row>
    <row r="54" spans="4:10" x14ac:dyDescent="0.25">
      <c r="D54" s="3" t="s">
        <v>35</v>
      </c>
      <c r="E54" s="3"/>
      <c r="F54" s="3" t="s">
        <v>36</v>
      </c>
      <c r="G54" s="3"/>
      <c r="H54" s="3" t="s">
        <v>36</v>
      </c>
      <c r="I54" s="3"/>
      <c r="J54" s="3" t="s">
        <v>37</v>
      </c>
    </row>
    <row r="55" spans="4:10" x14ac:dyDescent="0.25">
      <c r="D55" s="42"/>
    </row>
    <row r="56" spans="4:10" x14ac:dyDescent="0.25">
      <c r="D56" s="42"/>
    </row>
    <row r="57" spans="4:10" x14ac:dyDescent="0.25">
      <c r="D57" s="42"/>
    </row>
    <row r="58" spans="4:10" x14ac:dyDescent="0.25">
      <c r="D58" s="42"/>
    </row>
    <row r="59" spans="4:10" x14ac:dyDescent="0.25">
      <c r="D59" s="42"/>
    </row>
  </sheetData>
  <mergeCells count="37">
    <mergeCell ref="B12:N12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1:I11"/>
    <mergeCell ref="N27:N28"/>
    <mergeCell ref="B18:I18"/>
    <mergeCell ref="B19:N19"/>
    <mergeCell ref="B21:I21"/>
    <mergeCell ref="G24:I24"/>
    <mergeCell ref="B26:D26"/>
    <mergeCell ref="B27:B28"/>
    <mergeCell ref="C27:C28"/>
    <mergeCell ref="D27:D28"/>
    <mergeCell ref="E27:E28"/>
    <mergeCell ref="F27:F28"/>
    <mergeCell ref="G27:G28"/>
    <mergeCell ref="H27:H28"/>
    <mergeCell ref="I27:I28"/>
    <mergeCell ref="J27:L27"/>
    <mergeCell ref="M27:M28"/>
    <mergeCell ref="B33:I33"/>
    <mergeCell ref="B34:N34"/>
    <mergeCell ref="B41:I41"/>
    <mergeCell ref="H43:I43"/>
    <mergeCell ref="H45:I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7202-1E3A-4223-847D-989E7230BCFE}">
  <dimension ref="B2:P64"/>
  <sheetViews>
    <sheetView workbookViewId="0">
      <selection activeCell="M16" sqref="M16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1.42578125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91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ht="15.75" x14ac:dyDescent="0.25">
      <c r="B8" s="7">
        <v>1</v>
      </c>
      <c r="C8" s="8" t="s">
        <v>17</v>
      </c>
      <c r="D8" s="9" t="s">
        <v>92</v>
      </c>
      <c r="E8" s="10" t="s">
        <v>93</v>
      </c>
      <c r="F8" s="11" t="s">
        <v>39</v>
      </c>
      <c r="G8" s="12">
        <v>46123</v>
      </c>
      <c r="H8" s="12">
        <v>46136</v>
      </c>
      <c r="I8" s="13">
        <v>1142500</v>
      </c>
      <c r="J8" s="14"/>
      <c r="K8" s="15">
        <f>I8</f>
        <v>1142500</v>
      </c>
      <c r="L8" s="67" t="s">
        <v>89</v>
      </c>
      <c r="M8" s="16"/>
      <c r="N8" s="17"/>
    </row>
    <row r="9" spans="2:16" ht="15.75" x14ac:dyDescent="0.25">
      <c r="B9" s="7">
        <v>2</v>
      </c>
      <c r="C9" s="8"/>
      <c r="D9" s="9" t="s">
        <v>94</v>
      </c>
      <c r="E9" s="10" t="s">
        <v>95</v>
      </c>
      <c r="F9" s="11" t="s">
        <v>96</v>
      </c>
      <c r="G9" s="12">
        <v>46132</v>
      </c>
      <c r="H9" s="12">
        <v>46144</v>
      </c>
      <c r="I9" s="13">
        <v>438000</v>
      </c>
      <c r="J9" s="14"/>
      <c r="K9" s="15">
        <f>I9</f>
        <v>438000</v>
      </c>
      <c r="L9" s="67" t="s">
        <v>89</v>
      </c>
      <c r="M9" s="16"/>
      <c r="N9" s="17"/>
    </row>
    <row r="10" spans="2:16" ht="15.75" x14ac:dyDescent="0.25">
      <c r="B10" s="122" t="s">
        <v>12</v>
      </c>
      <c r="C10" s="123"/>
      <c r="D10" s="123"/>
      <c r="E10" s="123"/>
      <c r="F10" s="123"/>
      <c r="G10" s="123"/>
      <c r="H10" s="123"/>
      <c r="I10" s="124"/>
      <c r="J10" s="18">
        <f>SUM(J8:J9)</f>
        <v>0</v>
      </c>
      <c r="K10" s="19">
        <f>SUM(K8:K9)</f>
        <v>1580500</v>
      </c>
      <c r="L10" s="20"/>
      <c r="M10" s="21">
        <f>SUM(J10+K10)</f>
        <v>1580500</v>
      </c>
      <c r="N10" s="21"/>
    </row>
    <row r="11" spans="2:16" ht="15.75" x14ac:dyDescent="0.25">
      <c r="B11" s="141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72"/>
    </row>
    <row r="12" spans="2:16" ht="15.75" x14ac:dyDescent="0.25">
      <c r="B12" s="7">
        <v>1</v>
      </c>
      <c r="C12" s="22" t="s">
        <v>21</v>
      </c>
      <c r="D12" s="9" t="s">
        <v>97</v>
      </c>
      <c r="E12" s="23" t="s">
        <v>98</v>
      </c>
      <c r="F12" s="24" t="s">
        <v>99</v>
      </c>
      <c r="G12" s="25">
        <v>46116</v>
      </c>
      <c r="H12" s="25">
        <v>46130</v>
      </c>
      <c r="I12" s="26">
        <v>364500</v>
      </c>
      <c r="J12" s="14"/>
      <c r="K12" s="15">
        <f>I12</f>
        <v>364500</v>
      </c>
      <c r="L12" s="67" t="s">
        <v>89</v>
      </c>
      <c r="M12" s="16"/>
      <c r="N12" s="17"/>
    </row>
    <row r="13" spans="2:16" ht="15.75" x14ac:dyDescent="0.25">
      <c r="B13" s="7">
        <v>2</v>
      </c>
      <c r="C13" s="22"/>
      <c r="D13" s="9" t="s">
        <v>100</v>
      </c>
      <c r="E13" s="23" t="s">
        <v>101</v>
      </c>
      <c r="F13" s="24" t="s">
        <v>51</v>
      </c>
      <c r="G13" s="25">
        <v>46116</v>
      </c>
      <c r="H13" s="25">
        <v>46130</v>
      </c>
      <c r="I13" s="26">
        <v>217500</v>
      </c>
      <c r="J13" s="14"/>
      <c r="K13" s="15">
        <f t="shared" ref="K13:K19" si="0">I13</f>
        <v>217500</v>
      </c>
      <c r="L13" s="67" t="s">
        <v>89</v>
      </c>
      <c r="M13" s="16"/>
      <c r="N13" s="17"/>
    </row>
    <row r="14" spans="2:16" ht="15.75" x14ac:dyDescent="0.25">
      <c r="B14" s="7">
        <v>3</v>
      </c>
      <c r="C14" s="22"/>
      <c r="D14" s="9" t="s">
        <v>102</v>
      </c>
      <c r="E14" s="23" t="s">
        <v>103</v>
      </c>
      <c r="F14" s="24" t="s">
        <v>104</v>
      </c>
      <c r="G14" s="25">
        <v>46130</v>
      </c>
      <c r="H14" s="25">
        <v>46143</v>
      </c>
      <c r="I14" s="26">
        <v>435000</v>
      </c>
      <c r="J14" s="14"/>
      <c r="K14" s="15">
        <f t="shared" si="0"/>
        <v>435000</v>
      </c>
      <c r="L14" s="67" t="s">
        <v>89</v>
      </c>
      <c r="M14" s="16"/>
      <c r="N14" s="17"/>
    </row>
    <row r="15" spans="2:16" ht="15.75" x14ac:dyDescent="0.25">
      <c r="B15" s="7">
        <v>4</v>
      </c>
      <c r="C15" s="22"/>
      <c r="D15" s="9" t="s">
        <v>105</v>
      </c>
      <c r="E15" s="23" t="s">
        <v>106</v>
      </c>
      <c r="F15" s="24" t="s">
        <v>107</v>
      </c>
      <c r="G15" s="25">
        <v>46132</v>
      </c>
      <c r="H15" s="25">
        <v>46144</v>
      </c>
      <c r="I15" s="26">
        <v>692600</v>
      </c>
      <c r="J15" s="14"/>
      <c r="K15" s="15">
        <f t="shared" si="0"/>
        <v>692600</v>
      </c>
      <c r="L15" s="67" t="s">
        <v>89</v>
      </c>
      <c r="M15" s="16"/>
      <c r="N15" s="17"/>
    </row>
    <row r="16" spans="2:16" ht="15.75" x14ac:dyDescent="0.25">
      <c r="B16" s="7">
        <v>5</v>
      </c>
      <c r="C16" s="22"/>
      <c r="D16" s="9" t="s">
        <v>108</v>
      </c>
      <c r="E16" s="23" t="s">
        <v>109</v>
      </c>
      <c r="F16" s="24" t="s">
        <v>110</v>
      </c>
      <c r="G16" s="25">
        <v>46132</v>
      </c>
      <c r="H16" s="25">
        <v>46144</v>
      </c>
      <c r="I16" s="26">
        <v>288000</v>
      </c>
      <c r="J16" s="14"/>
      <c r="K16" s="15">
        <f t="shared" si="0"/>
        <v>288000</v>
      </c>
      <c r="L16" s="67" t="s">
        <v>89</v>
      </c>
      <c r="M16" s="16"/>
      <c r="N16" s="17"/>
    </row>
    <row r="17" spans="2:14" ht="15.75" x14ac:dyDescent="0.25">
      <c r="B17" s="7">
        <v>6</v>
      </c>
      <c r="C17" s="22"/>
      <c r="D17" s="9" t="s">
        <v>111</v>
      </c>
      <c r="E17" s="23" t="s">
        <v>112</v>
      </c>
      <c r="F17" s="24" t="s">
        <v>113</v>
      </c>
      <c r="G17" s="25">
        <v>46132</v>
      </c>
      <c r="H17" s="25">
        <v>46144</v>
      </c>
      <c r="I17" s="26">
        <v>52800</v>
      </c>
      <c r="J17" s="14"/>
      <c r="K17" s="15">
        <f t="shared" si="0"/>
        <v>52800</v>
      </c>
      <c r="L17" s="67" t="s">
        <v>89</v>
      </c>
      <c r="M17" s="16"/>
      <c r="N17" s="17"/>
    </row>
    <row r="18" spans="2:14" ht="15.75" x14ac:dyDescent="0.25">
      <c r="B18" s="7">
        <v>7</v>
      </c>
      <c r="C18" s="22"/>
      <c r="D18" s="9" t="s">
        <v>114</v>
      </c>
      <c r="E18" s="23" t="s">
        <v>115</v>
      </c>
      <c r="F18" s="24" t="s">
        <v>116</v>
      </c>
      <c r="G18" s="25">
        <v>46132</v>
      </c>
      <c r="H18" s="25">
        <v>46144</v>
      </c>
      <c r="I18" s="26">
        <v>105600</v>
      </c>
      <c r="J18" s="14"/>
      <c r="K18" s="15">
        <f t="shared" si="0"/>
        <v>105600</v>
      </c>
      <c r="L18" s="67" t="s">
        <v>89</v>
      </c>
      <c r="M18" s="16"/>
      <c r="N18" s="17"/>
    </row>
    <row r="19" spans="2:14" ht="15.75" x14ac:dyDescent="0.25">
      <c r="B19" s="7">
        <v>8</v>
      </c>
      <c r="C19" s="22"/>
      <c r="D19" s="9" t="s">
        <v>117</v>
      </c>
      <c r="E19" s="23" t="s">
        <v>118</v>
      </c>
      <c r="F19" s="24" t="s">
        <v>119</v>
      </c>
      <c r="G19" s="25">
        <v>46132</v>
      </c>
      <c r="H19" s="25">
        <v>46144</v>
      </c>
      <c r="I19" s="26">
        <v>174000</v>
      </c>
      <c r="J19" s="14"/>
      <c r="K19" s="15">
        <f t="shared" si="0"/>
        <v>174000</v>
      </c>
      <c r="L19" s="67" t="s">
        <v>89</v>
      </c>
      <c r="M19" s="16"/>
      <c r="N19" s="17"/>
    </row>
    <row r="20" spans="2:14" ht="15.75" x14ac:dyDescent="0.25">
      <c r="B20" s="143" t="s">
        <v>12</v>
      </c>
      <c r="C20" s="144"/>
      <c r="D20" s="144"/>
      <c r="E20" s="144"/>
      <c r="F20" s="144"/>
      <c r="G20" s="144"/>
      <c r="H20" s="144"/>
      <c r="I20" s="170"/>
      <c r="J20" s="18">
        <f>SUM(J12:J19)</f>
        <v>0</v>
      </c>
      <c r="K20" s="19">
        <f>SUM(K12:K19)</f>
        <v>2330000</v>
      </c>
      <c r="L20" s="28"/>
      <c r="M20" s="29">
        <f>SUM(J20+K20)</f>
        <v>2330000</v>
      </c>
      <c r="N20" s="21"/>
    </row>
    <row r="21" spans="2:14" ht="15.75" x14ac:dyDescent="0.25">
      <c r="B21" s="147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71"/>
    </row>
    <row r="22" spans="2:14" ht="15.75" x14ac:dyDescent="0.25">
      <c r="B22" s="67">
        <v>1</v>
      </c>
      <c r="C22" s="46" t="s">
        <v>22</v>
      </c>
      <c r="D22" s="55" t="s">
        <v>120</v>
      </c>
      <c r="E22" s="71" t="s">
        <v>121</v>
      </c>
      <c r="F22" s="71" t="s">
        <v>122</v>
      </c>
      <c r="G22" s="68">
        <v>46132</v>
      </c>
      <c r="H22" s="68">
        <v>46144</v>
      </c>
      <c r="I22" s="69">
        <v>196000</v>
      </c>
      <c r="J22" s="66"/>
      <c r="K22" s="70">
        <f>I22</f>
        <v>196000</v>
      </c>
      <c r="L22" s="67" t="s">
        <v>89</v>
      </c>
      <c r="M22" s="65"/>
      <c r="N22" s="65"/>
    </row>
    <row r="23" spans="2:14" ht="15.75" x14ac:dyDescent="0.25">
      <c r="B23" s="30">
        <v>2</v>
      </c>
      <c r="C23" s="46"/>
      <c r="D23" s="32"/>
      <c r="E23" s="72"/>
      <c r="F23" s="72"/>
      <c r="G23" s="47"/>
      <c r="H23" s="47"/>
      <c r="I23" s="48"/>
      <c r="J23" s="49"/>
      <c r="K23" s="70"/>
      <c r="L23" s="16"/>
      <c r="M23" s="16"/>
      <c r="N23" s="17"/>
    </row>
    <row r="24" spans="2:14" ht="15.75" x14ac:dyDescent="0.25">
      <c r="B24" s="157" t="s">
        <v>12</v>
      </c>
      <c r="C24" s="158"/>
      <c r="D24" s="158"/>
      <c r="E24" s="158"/>
      <c r="F24" s="158"/>
      <c r="G24" s="158"/>
      <c r="H24" s="158"/>
      <c r="I24" s="159"/>
      <c r="J24" s="60">
        <f>SUM(J23:J23)</f>
        <v>0</v>
      </c>
      <c r="K24" s="61">
        <f>SUM(K22:K23)</f>
        <v>196000</v>
      </c>
      <c r="L24" s="62"/>
      <c r="M24" s="63">
        <f>SUM(K24+J24)</f>
        <v>196000</v>
      </c>
      <c r="N24" s="64"/>
    </row>
    <row r="25" spans="2:14" x14ac:dyDescent="0.25">
      <c r="D25" s="42"/>
      <c r="I25" s="43"/>
      <c r="N25" s="44"/>
    </row>
    <row r="26" spans="2:14" x14ac:dyDescent="0.25">
      <c r="D26" s="42"/>
      <c r="I26" s="43"/>
      <c r="N26" s="44"/>
    </row>
    <row r="27" spans="2:14" ht="15.75" x14ac:dyDescent="0.25">
      <c r="D27" s="42"/>
      <c r="G27" s="150" t="s">
        <v>23</v>
      </c>
      <c r="H27" s="150"/>
      <c r="I27" s="150"/>
      <c r="J27" s="18">
        <f>SUM(J24+J20+J10)</f>
        <v>0</v>
      </c>
      <c r="K27" s="40">
        <f>SUM(K24+K20+K10)</f>
        <v>4106500</v>
      </c>
      <c r="L27" s="28"/>
      <c r="M27" s="28"/>
      <c r="N27" s="21">
        <f>SUM(J27+K27)</f>
        <v>4106500</v>
      </c>
    </row>
    <row r="28" spans="2:14" x14ac:dyDescent="0.25">
      <c r="D28" s="42"/>
      <c r="I28" s="43"/>
      <c r="N28" s="44"/>
    </row>
    <row r="29" spans="2:14" x14ac:dyDescent="0.25">
      <c r="B29" s="160" t="s">
        <v>24</v>
      </c>
      <c r="C29" s="160"/>
      <c r="D29" s="160"/>
      <c r="I29" s="43"/>
      <c r="N29" s="44"/>
    </row>
    <row r="30" spans="2:14" ht="15.75" x14ac:dyDescent="0.25">
      <c r="B30" s="154" t="s">
        <v>3</v>
      </c>
      <c r="C30" s="161" t="s">
        <v>25</v>
      </c>
      <c r="D30" s="154" t="s">
        <v>5</v>
      </c>
      <c r="E30" s="154" t="s">
        <v>6</v>
      </c>
      <c r="F30" s="154" t="s">
        <v>7</v>
      </c>
      <c r="G30" s="154" t="s">
        <v>8</v>
      </c>
      <c r="H30" s="154" t="s">
        <v>9</v>
      </c>
      <c r="I30" s="161" t="s">
        <v>26</v>
      </c>
      <c r="J30" s="143" t="s">
        <v>11</v>
      </c>
      <c r="K30" s="144"/>
      <c r="L30" s="170"/>
      <c r="M30" s="133" t="s">
        <v>12</v>
      </c>
      <c r="N30" s="154" t="s">
        <v>13</v>
      </c>
    </row>
    <row r="31" spans="2:14" ht="15.75" x14ac:dyDescent="0.25">
      <c r="B31" s="155"/>
      <c r="C31" s="162"/>
      <c r="D31" s="155"/>
      <c r="E31" s="155"/>
      <c r="F31" s="155"/>
      <c r="G31" s="155"/>
      <c r="H31" s="155"/>
      <c r="I31" s="162"/>
      <c r="J31" s="4" t="s">
        <v>14</v>
      </c>
      <c r="K31" s="5" t="s">
        <v>15</v>
      </c>
      <c r="L31" s="6" t="s">
        <v>16</v>
      </c>
      <c r="M31" s="134"/>
      <c r="N31" s="155"/>
    </row>
    <row r="32" spans="2:14" ht="15" customHeight="1" x14ac:dyDescent="0.25">
      <c r="B32" s="27">
        <v>1</v>
      </c>
      <c r="C32" s="31" t="s">
        <v>87</v>
      </c>
      <c r="D32" s="45" t="s">
        <v>123</v>
      </c>
      <c r="E32" s="46" t="s">
        <v>60</v>
      </c>
      <c r="F32" s="46" t="s">
        <v>124</v>
      </c>
      <c r="G32" s="47">
        <v>46144</v>
      </c>
      <c r="H32" s="47"/>
      <c r="I32" s="48">
        <v>551500</v>
      </c>
      <c r="J32" s="49">
        <f>I32</f>
        <v>551500</v>
      </c>
      <c r="K32" s="50"/>
      <c r="L32" s="16" t="s">
        <v>89</v>
      </c>
      <c r="M32" s="17"/>
      <c r="N32" s="17"/>
    </row>
    <row r="33" spans="2:14" ht="15" customHeight="1" x14ac:dyDescent="0.25">
      <c r="B33" s="27">
        <v>2</v>
      </c>
      <c r="C33" s="31" t="s">
        <v>87</v>
      </c>
      <c r="D33" s="45" t="s">
        <v>125</v>
      </c>
      <c r="E33" s="46" t="s">
        <v>126</v>
      </c>
      <c r="F33" s="46" t="s">
        <v>127</v>
      </c>
      <c r="G33" s="47">
        <v>46144</v>
      </c>
      <c r="H33" s="47"/>
      <c r="I33" s="48">
        <v>1063000</v>
      </c>
      <c r="J33" s="49">
        <f t="shared" ref="J33:J36" si="1">I33</f>
        <v>1063000</v>
      </c>
      <c r="K33" s="38"/>
      <c r="L33" s="16" t="s">
        <v>89</v>
      </c>
      <c r="M33" s="17"/>
      <c r="N33" s="17"/>
    </row>
    <row r="34" spans="2:14" ht="15" customHeight="1" x14ac:dyDescent="0.25">
      <c r="B34" s="27">
        <v>3</v>
      </c>
      <c r="C34" s="31" t="s">
        <v>87</v>
      </c>
      <c r="D34" s="45" t="s">
        <v>128</v>
      </c>
      <c r="E34" s="46" t="s">
        <v>129</v>
      </c>
      <c r="F34" s="46" t="s">
        <v>127</v>
      </c>
      <c r="G34" s="47">
        <v>46144</v>
      </c>
      <c r="H34" s="47"/>
      <c r="I34" s="48">
        <v>858400</v>
      </c>
      <c r="J34" s="49">
        <f t="shared" si="1"/>
        <v>858400</v>
      </c>
      <c r="K34" s="38"/>
      <c r="L34" s="16" t="s">
        <v>89</v>
      </c>
      <c r="M34" s="17"/>
      <c r="N34" s="17"/>
    </row>
    <row r="35" spans="2:14" ht="15" customHeight="1" x14ac:dyDescent="0.25">
      <c r="B35" s="27">
        <v>4</v>
      </c>
      <c r="C35" s="31" t="s">
        <v>87</v>
      </c>
      <c r="D35" s="45" t="s">
        <v>147</v>
      </c>
      <c r="E35" s="46" t="s">
        <v>129</v>
      </c>
      <c r="F35" s="46" t="s">
        <v>127</v>
      </c>
      <c r="G35" s="47">
        <v>46144</v>
      </c>
      <c r="H35" s="47"/>
      <c r="I35" s="48">
        <v>171390</v>
      </c>
      <c r="J35" s="49"/>
      <c r="K35" s="38">
        <f>I35</f>
        <v>171390</v>
      </c>
      <c r="L35" s="16" t="s">
        <v>89</v>
      </c>
      <c r="M35" s="17"/>
      <c r="N35" s="17"/>
    </row>
    <row r="36" spans="2:14" ht="15" customHeight="1" x14ac:dyDescent="0.25">
      <c r="B36" s="27">
        <v>5</v>
      </c>
      <c r="C36" s="31" t="s">
        <v>87</v>
      </c>
      <c r="D36" s="51" t="s">
        <v>148</v>
      </c>
      <c r="E36" s="17" t="s">
        <v>149</v>
      </c>
      <c r="F36" s="17" t="s">
        <v>119</v>
      </c>
      <c r="G36" s="47">
        <v>46144</v>
      </c>
      <c r="H36" s="52"/>
      <c r="I36" s="16">
        <v>215100</v>
      </c>
      <c r="J36" s="49">
        <f t="shared" si="1"/>
        <v>215100</v>
      </c>
      <c r="K36" s="50"/>
      <c r="L36" s="16" t="s">
        <v>89</v>
      </c>
      <c r="M36" s="17"/>
      <c r="N36" s="17"/>
    </row>
    <row r="37" spans="2:14" ht="15.75" x14ac:dyDescent="0.25">
      <c r="B37" s="122" t="s">
        <v>27</v>
      </c>
      <c r="C37" s="123"/>
      <c r="D37" s="123"/>
      <c r="E37" s="123"/>
      <c r="F37" s="123"/>
      <c r="G37" s="123"/>
      <c r="H37" s="123"/>
      <c r="I37" s="124"/>
      <c r="J37" s="39">
        <f>SUM(J32:J36)</f>
        <v>2688000</v>
      </c>
      <c r="K37" s="40">
        <f>SUM(K32:K36)</f>
        <v>171390</v>
      </c>
      <c r="L37" s="28"/>
      <c r="M37" s="41">
        <f>SUM(J37+K37)</f>
        <v>2859390</v>
      </c>
      <c r="N37" s="53"/>
    </row>
    <row r="38" spans="2:14" ht="15.75" x14ac:dyDescent="0.25">
      <c r="B38" s="139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63"/>
    </row>
    <row r="39" spans="2:14" x14ac:dyDescent="0.25">
      <c r="B39" s="55">
        <v>1</v>
      </c>
      <c r="C39" s="8" t="s">
        <v>88</v>
      </c>
      <c r="D39" s="51" t="s">
        <v>130</v>
      </c>
      <c r="E39" s="51" t="s">
        <v>131</v>
      </c>
      <c r="F39" s="17" t="s">
        <v>51</v>
      </c>
      <c r="G39" s="47">
        <v>46144</v>
      </c>
      <c r="H39" s="52"/>
      <c r="I39" s="16">
        <v>215100</v>
      </c>
      <c r="J39" s="49">
        <f>I39</f>
        <v>215100</v>
      </c>
      <c r="K39" s="50"/>
      <c r="L39" s="16" t="s">
        <v>89</v>
      </c>
      <c r="M39" s="17"/>
      <c r="N39" s="17"/>
    </row>
    <row r="40" spans="2:14" x14ac:dyDescent="0.25">
      <c r="B40" s="55">
        <v>2</v>
      </c>
      <c r="C40" s="8" t="s">
        <v>88</v>
      </c>
      <c r="D40" s="51" t="s">
        <v>132</v>
      </c>
      <c r="E40" s="51" t="s">
        <v>133</v>
      </c>
      <c r="F40" s="17" t="s">
        <v>99</v>
      </c>
      <c r="G40" s="47">
        <v>46144</v>
      </c>
      <c r="H40" s="52"/>
      <c r="I40" s="16">
        <v>858400</v>
      </c>
      <c r="J40" s="49">
        <f t="shared" ref="J40:J44" si="2">I40</f>
        <v>858400</v>
      </c>
      <c r="K40" s="50"/>
      <c r="L40" s="16" t="s">
        <v>89</v>
      </c>
      <c r="M40" s="17"/>
      <c r="N40" s="17"/>
    </row>
    <row r="41" spans="2:14" x14ac:dyDescent="0.25">
      <c r="B41" s="55">
        <v>3</v>
      </c>
      <c r="C41" s="8" t="s">
        <v>146</v>
      </c>
      <c r="D41" s="51" t="s">
        <v>134</v>
      </c>
      <c r="E41" s="51" t="s">
        <v>41</v>
      </c>
      <c r="F41" s="17" t="s">
        <v>135</v>
      </c>
      <c r="G41" s="47">
        <v>46144</v>
      </c>
      <c r="H41" s="52"/>
      <c r="I41" s="16">
        <v>1063000</v>
      </c>
      <c r="J41" s="49">
        <f t="shared" si="2"/>
        <v>1063000</v>
      </c>
      <c r="K41" s="50"/>
      <c r="L41" s="16" t="s">
        <v>89</v>
      </c>
      <c r="M41" s="17"/>
      <c r="N41" s="17"/>
    </row>
    <row r="42" spans="2:14" x14ac:dyDescent="0.25">
      <c r="B42" s="55">
        <v>4</v>
      </c>
      <c r="C42" s="8" t="s">
        <v>146</v>
      </c>
      <c r="D42" s="51" t="s">
        <v>136</v>
      </c>
      <c r="E42" s="51" t="s">
        <v>137</v>
      </c>
      <c r="F42" s="17" t="s">
        <v>138</v>
      </c>
      <c r="G42" s="47">
        <v>46144</v>
      </c>
      <c r="H42" s="52"/>
      <c r="I42" s="16">
        <v>1063000</v>
      </c>
      <c r="J42" s="49">
        <f t="shared" si="2"/>
        <v>1063000</v>
      </c>
      <c r="K42" s="50"/>
      <c r="L42" s="16" t="s">
        <v>89</v>
      </c>
      <c r="M42" s="17"/>
      <c r="N42" s="17"/>
    </row>
    <row r="43" spans="2:14" x14ac:dyDescent="0.25">
      <c r="B43" s="55">
        <v>5</v>
      </c>
      <c r="C43" s="8" t="s">
        <v>146</v>
      </c>
      <c r="D43" s="51" t="s">
        <v>139</v>
      </c>
      <c r="E43" s="51" t="s">
        <v>140</v>
      </c>
      <c r="F43" s="17" t="s">
        <v>141</v>
      </c>
      <c r="G43" s="47">
        <v>46144</v>
      </c>
      <c r="H43" s="52"/>
      <c r="I43" s="16">
        <v>327900</v>
      </c>
      <c r="J43" s="49">
        <f t="shared" si="2"/>
        <v>327900</v>
      </c>
      <c r="K43" s="50"/>
      <c r="L43" s="16" t="s">
        <v>89</v>
      </c>
      <c r="M43" s="17"/>
      <c r="N43" s="17"/>
    </row>
    <row r="44" spans="2:14" x14ac:dyDescent="0.25">
      <c r="B44" s="55">
        <v>6</v>
      </c>
      <c r="C44" s="8" t="s">
        <v>146</v>
      </c>
      <c r="D44" s="51" t="s">
        <v>142</v>
      </c>
      <c r="E44" s="51" t="s">
        <v>143</v>
      </c>
      <c r="F44" s="17" t="s">
        <v>144</v>
      </c>
      <c r="G44" s="47">
        <v>46144</v>
      </c>
      <c r="H44" s="52"/>
      <c r="I44" s="16">
        <v>543000</v>
      </c>
      <c r="J44" s="49">
        <f t="shared" si="2"/>
        <v>543000</v>
      </c>
      <c r="K44" s="50"/>
      <c r="L44" s="16" t="s">
        <v>89</v>
      </c>
      <c r="M44" s="17"/>
      <c r="N44" s="17"/>
    </row>
    <row r="45" spans="2:14" x14ac:dyDescent="0.25">
      <c r="B45" s="55">
        <v>7</v>
      </c>
      <c r="C45" s="8" t="s">
        <v>146</v>
      </c>
      <c r="D45" s="51" t="s">
        <v>145</v>
      </c>
      <c r="E45" s="51" t="s">
        <v>137</v>
      </c>
      <c r="F45" s="17" t="s">
        <v>138</v>
      </c>
      <c r="G45" s="47">
        <v>46144</v>
      </c>
      <c r="H45" s="52"/>
      <c r="I45" s="16">
        <v>177600</v>
      </c>
      <c r="J45" s="49"/>
      <c r="K45" s="15">
        <f>I45</f>
        <v>177600</v>
      </c>
      <c r="L45" s="16" t="s">
        <v>89</v>
      </c>
      <c r="M45" s="17"/>
      <c r="N45" s="17"/>
    </row>
    <row r="46" spans="2:14" ht="15.75" x14ac:dyDescent="0.25">
      <c r="B46" s="122" t="s">
        <v>27</v>
      </c>
      <c r="C46" s="123"/>
      <c r="D46" s="123"/>
      <c r="E46" s="123"/>
      <c r="F46" s="123"/>
      <c r="G46" s="123"/>
      <c r="H46" s="123"/>
      <c r="I46" s="124"/>
      <c r="J46" s="39">
        <f>SUM(J39:J45)</f>
        <v>4070400</v>
      </c>
      <c r="K46" s="40">
        <f>SUM(K39:K45)</f>
        <v>177600</v>
      </c>
      <c r="L46" s="28"/>
      <c r="M46" s="41">
        <f>SUM(J46+K46)</f>
        <v>4248000</v>
      </c>
      <c r="N46" s="53"/>
    </row>
    <row r="47" spans="2:14" x14ac:dyDescent="0.25">
      <c r="D47" s="42"/>
      <c r="I47" s="43"/>
    </row>
    <row r="48" spans="2:14" ht="15.75" x14ac:dyDescent="0.25">
      <c r="D48" s="42"/>
      <c r="H48" s="164" t="s">
        <v>28</v>
      </c>
      <c r="I48" s="165"/>
      <c r="J48" s="39">
        <f>SUM(J46+J37)</f>
        <v>6758400</v>
      </c>
      <c r="K48" s="40">
        <f>SUM(K46+K37)</f>
        <v>348990</v>
      </c>
      <c r="L48" s="28"/>
      <c r="M48" s="54"/>
      <c r="N48" s="21">
        <f>SUM(M46+M37)</f>
        <v>7107390</v>
      </c>
    </row>
    <row r="49" spans="4:14" x14ac:dyDescent="0.25">
      <c r="D49" s="42"/>
      <c r="I49" s="43"/>
    </row>
    <row r="50" spans="4:14" x14ac:dyDescent="0.25">
      <c r="D50" s="42"/>
      <c r="H50" s="166" t="s">
        <v>29</v>
      </c>
      <c r="I50" s="167"/>
      <c r="J50" s="56" t="s">
        <v>14</v>
      </c>
      <c r="K50" s="57" t="s">
        <v>15</v>
      </c>
      <c r="L50" s="17"/>
      <c r="M50" s="17"/>
      <c r="N50" s="17"/>
    </row>
    <row r="51" spans="4:14" ht="15.75" x14ac:dyDescent="0.25">
      <c r="D51" s="42"/>
      <c r="H51" s="168"/>
      <c r="I51" s="169"/>
      <c r="J51" s="39">
        <f>SUM(J48+J27)</f>
        <v>6758400</v>
      </c>
      <c r="K51" s="40">
        <f>SUM(K48+K27)</f>
        <v>4455490</v>
      </c>
      <c r="L51" s="28"/>
      <c r="M51" s="28"/>
      <c r="N51" s="58">
        <f>SUM(K51+J51)</f>
        <v>11213890</v>
      </c>
    </row>
    <row r="52" spans="4:14" x14ac:dyDescent="0.25">
      <c r="D52" s="42"/>
      <c r="I52" s="43"/>
      <c r="N52" s="59"/>
    </row>
    <row r="53" spans="4:14" x14ac:dyDescent="0.25">
      <c r="D53" s="2" t="s">
        <v>30</v>
      </c>
      <c r="E53" s="1"/>
      <c r="F53" s="1"/>
      <c r="G53" s="1"/>
      <c r="H53" s="1"/>
      <c r="I53" s="1"/>
      <c r="J53" s="1"/>
    </row>
    <row r="54" spans="4:14" x14ac:dyDescent="0.25">
      <c r="D54" s="2"/>
      <c r="E54" s="1"/>
      <c r="F54" s="1"/>
      <c r="G54" s="1"/>
      <c r="H54" s="1"/>
      <c r="I54" s="1"/>
      <c r="J54" s="1"/>
    </row>
    <row r="55" spans="4:14" x14ac:dyDescent="0.25">
      <c r="D55" s="3" t="s">
        <v>31</v>
      </c>
      <c r="E55" s="3"/>
      <c r="F55" s="3" t="s">
        <v>32</v>
      </c>
      <c r="G55" s="3"/>
      <c r="H55" s="3" t="s">
        <v>33</v>
      </c>
      <c r="I55" s="3"/>
      <c r="J55" s="3" t="s">
        <v>34</v>
      </c>
    </row>
    <row r="56" spans="4:14" x14ac:dyDescent="0.25">
      <c r="D56" s="3"/>
      <c r="E56" s="3"/>
      <c r="F56" s="3"/>
      <c r="G56" s="3"/>
      <c r="H56" s="3"/>
      <c r="I56" s="3"/>
      <c r="J56" s="3"/>
    </row>
    <row r="57" spans="4:14" x14ac:dyDescent="0.25">
      <c r="D57" s="3"/>
      <c r="E57" s="3"/>
      <c r="F57" s="3"/>
      <c r="G57" s="3"/>
      <c r="H57" s="3"/>
      <c r="I57" s="3"/>
      <c r="J57" s="3"/>
    </row>
    <row r="58" spans="4:14" x14ac:dyDescent="0.25">
      <c r="D58" s="3"/>
      <c r="E58" s="3"/>
      <c r="F58" s="3"/>
      <c r="G58" s="3"/>
      <c r="H58" s="3"/>
      <c r="I58" s="3"/>
      <c r="J58" s="3"/>
    </row>
    <row r="59" spans="4:14" x14ac:dyDescent="0.25">
      <c r="D59" s="3" t="s">
        <v>35</v>
      </c>
      <c r="E59" s="3"/>
      <c r="F59" s="3" t="s">
        <v>36</v>
      </c>
      <c r="G59" s="3"/>
      <c r="H59" s="3" t="s">
        <v>36</v>
      </c>
      <c r="I59" s="3"/>
      <c r="J59" s="3" t="s">
        <v>37</v>
      </c>
    </row>
    <row r="60" spans="4:14" x14ac:dyDescent="0.25">
      <c r="D60" s="42"/>
    </row>
    <row r="61" spans="4:14" x14ac:dyDescent="0.25">
      <c r="D61" s="42"/>
    </row>
    <row r="62" spans="4:14" x14ac:dyDescent="0.25">
      <c r="D62" s="42"/>
    </row>
    <row r="63" spans="4:14" x14ac:dyDescent="0.25">
      <c r="D63" s="42"/>
    </row>
    <row r="64" spans="4:14" x14ac:dyDescent="0.25">
      <c r="D64" s="42"/>
    </row>
  </sheetData>
  <mergeCells count="37">
    <mergeCell ref="B11:N11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0:I10"/>
    <mergeCell ref="N30:N31"/>
    <mergeCell ref="B20:I20"/>
    <mergeCell ref="B21:N21"/>
    <mergeCell ref="B24:I24"/>
    <mergeCell ref="G27:I27"/>
    <mergeCell ref="B29:D29"/>
    <mergeCell ref="B30:B31"/>
    <mergeCell ref="C30:C31"/>
    <mergeCell ref="D30:D31"/>
    <mergeCell ref="E30:E31"/>
    <mergeCell ref="F30:F31"/>
    <mergeCell ref="G30:G31"/>
    <mergeCell ref="H30:H31"/>
    <mergeCell ref="I30:I31"/>
    <mergeCell ref="J30:L30"/>
    <mergeCell ref="M30:M31"/>
    <mergeCell ref="B37:I37"/>
    <mergeCell ref="B38:N38"/>
    <mergeCell ref="B46:I46"/>
    <mergeCell ref="H48:I48"/>
    <mergeCell ref="H50:I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36C0-4CD4-4F0C-8402-5BF5FD328E2A}">
  <dimension ref="B2:P77"/>
  <sheetViews>
    <sheetView workbookViewId="0">
      <selection activeCell="L55" sqref="L55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3.42578125" customWidth="1"/>
    <col min="8" max="8" width="13.5703125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150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151</v>
      </c>
      <c r="E8" s="10" t="s">
        <v>152</v>
      </c>
      <c r="F8" s="11" t="s">
        <v>153</v>
      </c>
      <c r="G8" s="12">
        <v>46133</v>
      </c>
      <c r="H8" s="12">
        <v>46146</v>
      </c>
      <c r="I8" s="13">
        <v>435000</v>
      </c>
      <c r="J8" s="14"/>
      <c r="K8" s="15">
        <f>I8</f>
        <v>435000</v>
      </c>
      <c r="L8" s="16"/>
      <c r="M8" s="16"/>
      <c r="N8" s="17"/>
    </row>
    <row r="9" spans="2:16" x14ac:dyDescent="0.25">
      <c r="B9" s="7">
        <v>2</v>
      </c>
      <c r="C9" s="8"/>
      <c r="D9" s="9" t="s">
        <v>154</v>
      </c>
      <c r="E9" s="10" t="s">
        <v>155</v>
      </c>
      <c r="F9" s="11" t="s">
        <v>153</v>
      </c>
      <c r="G9" s="12">
        <v>46133</v>
      </c>
      <c r="H9" s="12">
        <v>46146</v>
      </c>
      <c r="I9" s="13">
        <v>870000</v>
      </c>
      <c r="J9" s="14"/>
      <c r="K9" s="15">
        <v>420000</v>
      </c>
      <c r="L9" s="16" t="s">
        <v>235</v>
      </c>
      <c r="M9" s="16"/>
      <c r="N9" s="17"/>
    </row>
    <row r="10" spans="2:16" x14ac:dyDescent="0.25">
      <c r="B10" s="7"/>
      <c r="C10" s="8"/>
      <c r="D10" s="9" t="s">
        <v>236</v>
      </c>
      <c r="E10" s="10" t="s">
        <v>237</v>
      </c>
      <c r="F10" s="11" t="s">
        <v>238</v>
      </c>
      <c r="G10" s="12">
        <v>46122</v>
      </c>
      <c r="H10" s="12">
        <v>46136</v>
      </c>
      <c r="I10" s="13">
        <v>9151920</v>
      </c>
      <c r="J10" s="14"/>
      <c r="K10" s="15">
        <v>5000000</v>
      </c>
      <c r="L10" s="16" t="s">
        <v>235</v>
      </c>
      <c r="M10" s="16"/>
      <c r="N10" s="17"/>
    </row>
    <row r="11" spans="2:16" x14ac:dyDescent="0.25">
      <c r="B11" s="7">
        <v>3</v>
      </c>
      <c r="C11" s="8"/>
      <c r="D11" s="9" t="s">
        <v>156</v>
      </c>
      <c r="E11" s="10" t="s">
        <v>157</v>
      </c>
      <c r="F11" s="11" t="s">
        <v>75</v>
      </c>
      <c r="G11" s="12">
        <v>46133</v>
      </c>
      <c r="H11" s="12">
        <v>46146</v>
      </c>
      <c r="I11" s="13">
        <v>216000</v>
      </c>
      <c r="J11" s="14"/>
      <c r="K11" s="15">
        <f t="shared" ref="K11" si="0">I11</f>
        <v>216000</v>
      </c>
      <c r="L11" s="16"/>
      <c r="M11" s="16"/>
      <c r="N11" s="17"/>
    </row>
    <row r="12" spans="2:16" ht="15.75" x14ac:dyDescent="0.25">
      <c r="B12" s="122" t="s">
        <v>12</v>
      </c>
      <c r="C12" s="123"/>
      <c r="D12" s="123"/>
      <c r="E12" s="123"/>
      <c r="F12" s="123"/>
      <c r="G12" s="123"/>
      <c r="H12" s="123"/>
      <c r="I12" s="124"/>
      <c r="J12" s="18">
        <f>SUM(J8:J11)</f>
        <v>0</v>
      </c>
      <c r="K12" s="19">
        <f>SUM(K8:K11)</f>
        <v>6071000</v>
      </c>
      <c r="L12" s="20"/>
      <c r="M12" s="21">
        <f>SUM(J12+K12)</f>
        <v>6071000</v>
      </c>
      <c r="N12" s="21"/>
    </row>
    <row r="13" spans="2:16" ht="15.75" x14ac:dyDescent="0.25">
      <c r="B13" s="141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72"/>
    </row>
    <row r="14" spans="2:16" x14ac:dyDescent="0.25">
      <c r="B14" s="7">
        <v>1</v>
      </c>
      <c r="C14" s="22" t="s">
        <v>21</v>
      </c>
      <c r="D14" s="9" t="s">
        <v>158</v>
      </c>
      <c r="E14" s="23" t="s">
        <v>159</v>
      </c>
      <c r="F14" s="24" t="s">
        <v>160</v>
      </c>
      <c r="G14" s="25">
        <v>46006</v>
      </c>
      <c r="H14" s="25">
        <v>46018</v>
      </c>
      <c r="I14" s="26">
        <v>2000000</v>
      </c>
      <c r="J14" s="14">
        <v>2000000</v>
      </c>
      <c r="K14" s="15"/>
      <c r="L14" s="76" t="s">
        <v>89</v>
      </c>
      <c r="M14" s="16"/>
      <c r="N14" s="17"/>
    </row>
    <row r="15" spans="2:16" x14ac:dyDescent="0.25">
      <c r="B15" s="7">
        <v>2</v>
      </c>
      <c r="C15" s="22"/>
      <c r="D15" s="9" t="s">
        <v>161</v>
      </c>
      <c r="E15" s="23" t="s">
        <v>162</v>
      </c>
      <c r="F15" s="24" t="s">
        <v>163</v>
      </c>
      <c r="G15" s="25">
        <v>46116</v>
      </c>
      <c r="H15" s="25">
        <v>46130</v>
      </c>
      <c r="I15" s="26">
        <v>188000</v>
      </c>
      <c r="J15" s="14"/>
      <c r="K15" s="15">
        <f t="shared" ref="K15:K17" si="1">I15</f>
        <v>188000</v>
      </c>
      <c r="L15" s="76" t="s">
        <v>89</v>
      </c>
      <c r="M15" s="16"/>
      <c r="N15" s="17"/>
    </row>
    <row r="16" spans="2:16" x14ac:dyDescent="0.25">
      <c r="B16" s="7">
        <v>3</v>
      </c>
      <c r="C16" s="22"/>
      <c r="D16" s="9" t="s">
        <v>166</v>
      </c>
      <c r="E16" s="23" t="s">
        <v>167</v>
      </c>
      <c r="F16" s="24" t="s">
        <v>168</v>
      </c>
      <c r="G16" s="25">
        <v>46133</v>
      </c>
      <c r="H16" s="25">
        <v>46146</v>
      </c>
      <c r="I16" s="26">
        <v>190000</v>
      </c>
      <c r="J16" s="14"/>
      <c r="K16" s="15">
        <v>100000</v>
      </c>
      <c r="L16" s="76" t="s">
        <v>235</v>
      </c>
      <c r="M16" s="16"/>
      <c r="N16" s="17"/>
    </row>
    <row r="17" spans="2:14" x14ac:dyDescent="0.25">
      <c r="B17" s="7">
        <v>4</v>
      </c>
      <c r="C17" s="22"/>
      <c r="D17" s="9" t="s">
        <v>169</v>
      </c>
      <c r="E17" s="23" t="s">
        <v>170</v>
      </c>
      <c r="F17" s="24" t="s">
        <v>171</v>
      </c>
      <c r="G17" s="25">
        <v>46133</v>
      </c>
      <c r="H17" s="25">
        <v>46146</v>
      </c>
      <c r="I17" s="26">
        <v>176000</v>
      </c>
      <c r="J17" s="14"/>
      <c r="K17" s="15">
        <f t="shared" si="1"/>
        <v>176000</v>
      </c>
      <c r="L17" s="76" t="s">
        <v>89</v>
      </c>
      <c r="M17" s="16"/>
      <c r="N17" s="17"/>
    </row>
    <row r="18" spans="2:14" x14ac:dyDescent="0.25">
      <c r="B18" s="7">
        <v>5</v>
      </c>
      <c r="C18" s="22"/>
      <c r="D18" s="9" t="s">
        <v>172</v>
      </c>
      <c r="E18" s="23" t="s">
        <v>173</v>
      </c>
      <c r="F18" s="24" t="s">
        <v>174</v>
      </c>
      <c r="G18" s="25">
        <v>46144</v>
      </c>
      <c r="H18" s="25">
        <v>46157</v>
      </c>
      <c r="I18" s="26">
        <v>543000</v>
      </c>
      <c r="J18" s="14">
        <v>543000</v>
      </c>
      <c r="K18" s="15"/>
      <c r="L18" s="76" t="s">
        <v>89</v>
      </c>
      <c r="M18" s="16"/>
      <c r="N18" s="17"/>
    </row>
    <row r="19" spans="2:14" ht="15.75" x14ac:dyDescent="0.25">
      <c r="B19" s="143" t="s">
        <v>12</v>
      </c>
      <c r="C19" s="144"/>
      <c r="D19" s="144"/>
      <c r="E19" s="144"/>
      <c r="F19" s="144"/>
      <c r="G19" s="144"/>
      <c r="H19" s="144"/>
      <c r="I19" s="170"/>
      <c r="J19" s="18">
        <f>SUM(J14:J18)</f>
        <v>2543000</v>
      </c>
      <c r="K19" s="19">
        <f>SUM(K14:K18)</f>
        <v>464000</v>
      </c>
      <c r="L19" s="77"/>
      <c r="M19" s="29">
        <f>SUM(J19+K19)</f>
        <v>3007000</v>
      </c>
      <c r="N19" s="21"/>
    </row>
    <row r="20" spans="2:14" ht="15.75" x14ac:dyDescent="0.25">
      <c r="B20" s="147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71"/>
    </row>
    <row r="21" spans="2:14" ht="15.75" x14ac:dyDescent="0.25">
      <c r="B21" s="65">
        <v>1</v>
      </c>
      <c r="C21" s="31" t="s">
        <v>22</v>
      </c>
      <c r="D21" s="55" t="s">
        <v>175</v>
      </c>
      <c r="E21" s="67" t="s">
        <v>176</v>
      </c>
      <c r="F21" s="67" t="s">
        <v>177</v>
      </c>
      <c r="G21" s="74">
        <v>46132</v>
      </c>
      <c r="H21" s="74">
        <v>46145</v>
      </c>
      <c r="I21" s="73">
        <v>158400</v>
      </c>
      <c r="J21" s="66"/>
      <c r="K21" s="70">
        <f>I21</f>
        <v>158400</v>
      </c>
      <c r="L21" s="75" t="s">
        <v>89</v>
      </c>
      <c r="M21" s="65"/>
      <c r="N21" s="65"/>
    </row>
    <row r="22" spans="2:14" x14ac:dyDescent="0.25">
      <c r="B22" s="30"/>
      <c r="C22" s="31"/>
      <c r="D22" s="32"/>
      <c r="E22" s="46"/>
      <c r="F22" s="46"/>
      <c r="G22" s="47"/>
      <c r="H22" s="47"/>
      <c r="I22" s="48"/>
      <c r="J22" s="49"/>
      <c r="K22" s="38"/>
      <c r="L22" s="16"/>
      <c r="M22" s="16"/>
      <c r="N22" s="17"/>
    </row>
    <row r="23" spans="2:14" ht="15.75" x14ac:dyDescent="0.25">
      <c r="B23" s="157" t="s">
        <v>12</v>
      </c>
      <c r="C23" s="158"/>
      <c r="D23" s="158"/>
      <c r="E23" s="158"/>
      <c r="F23" s="158"/>
      <c r="G23" s="158"/>
      <c r="H23" s="158"/>
      <c r="I23" s="159"/>
      <c r="J23" s="60">
        <f>SUM(J22:J22)</f>
        <v>0</v>
      </c>
      <c r="K23" s="61">
        <f>SUM(K21:K22)</f>
        <v>158400</v>
      </c>
      <c r="L23" s="62"/>
      <c r="M23" s="63">
        <f>SUM(K23+J23)</f>
        <v>158400</v>
      </c>
      <c r="N23" s="64"/>
    </row>
    <row r="24" spans="2:14" x14ac:dyDescent="0.25">
      <c r="D24" s="42"/>
      <c r="I24" s="43"/>
      <c r="N24" s="44"/>
    </row>
    <row r="25" spans="2:14" x14ac:dyDescent="0.25">
      <c r="D25" s="42"/>
      <c r="I25" s="43"/>
      <c r="N25" s="44"/>
    </row>
    <row r="26" spans="2:14" ht="15.75" x14ac:dyDescent="0.25">
      <c r="D26" s="42"/>
      <c r="G26" s="150" t="s">
        <v>23</v>
      </c>
      <c r="H26" s="150"/>
      <c r="I26" s="150"/>
      <c r="J26" s="18">
        <f>SUM(J23+J19+J12)</f>
        <v>2543000</v>
      </c>
      <c r="K26" s="40">
        <f>SUM(K23+K19+K12)</f>
        <v>6693400</v>
      </c>
      <c r="L26" s="28"/>
      <c r="M26" s="28"/>
      <c r="N26" s="21">
        <f>SUM(J26+K26)</f>
        <v>9236400</v>
      </c>
    </row>
    <row r="27" spans="2:14" x14ac:dyDescent="0.25">
      <c r="D27" s="42"/>
      <c r="I27" s="43"/>
      <c r="N27" s="44"/>
    </row>
    <row r="28" spans="2:14" x14ac:dyDescent="0.25">
      <c r="B28" s="160" t="s">
        <v>24</v>
      </c>
      <c r="C28" s="160"/>
      <c r="D28" s="160"/>
      <c r="I28" s="43"/>
      <c r="N28" s="44"/>
    </row>
    <row r="29" spans="2:14" ht="15.75" x14ac:dyDescent="0.25">
      <c r="B29" s="154" t="s">
        <v>3</v>
      </c>
      <c r="C29" s="161" t="s">
        <v>25</v>
      </c>
      <c r="D29" s="154" t="s">
        <v>5</v>
      </c>
      <c r="E29" s="154" t="s">
        <v>6</v>
      </c>
      <c r="F29" s="154" t="s">
        <v>7</v>
      </c>
      <c r="G29" s="154" t="s">
        <v>8</v>
      </c>
      <c r="H29" s="154" t="s">
        <v>9</v>
      </c>
      <c r="I29" s="161" t="s">
        <v>26</v>
      </c>
      <c r="J29" s="143" t="s">
        <v>11</v>
      </c>
      <c r="K29" s="144"/>
      <c r="L29" s="170"/>
      <c r="M29" s="133" t="s">
        <v>12</v>
      </c>
      <c r="N29" s="154" t="s">
        <v>13</v>
      </c>
    </row>
    <row r="30" spans="2:14" ht="15.75" x14ac:dyDescent="0.25">
      <c r="B30" s="155"/>
      <c r="C30" s="162"/>
      <c r="D30" s="155"/>
      <c r="E30" s="155"/>
      <c r="F30" s="155"/>
      <c r="G30" s="155"/>
      <c r="H30" s="155"/>
      <c r="I30" s="162"/>
      <c r="J30" s="4" t="s">
        <v>14</v>
      </c>
      <c r="K30" s="5" t="s">
        <v>15</v>
      </c>
      <c r="L30" s="6" t="s">
        <v>16</v>
      </c>
      <c r="M30" s="134"/>
      <c r="N30" s="155"/>
    </row>
    <row r="31" spans="2:14" ht="15" customHeight="1" x14ac:dyDescent="0.25">
      <c r="B31" s="27">
        <v>1</v>
      </c>
      <c r="C31" s="31" t="s">
        <v>202</v>
      </c>
      <c r="D31" s="45" t="s">
        <v>178</v>
      </c>
      <c r="E31" s="46" t="s">
        <v>179</v>
      </c>
      <c r="F31" s="46" t="s">
        <v>180</v>
      </c>
      <c r="G31" s="47">
        <v>46146</v>
      </c>
      <c r="H31" s="47"/>
      <c r="I31" s="48">
        <v>215100</v>
      </c>
      <c r="J31" s="49">
        <f>I31</f>
        <v>215100</v>
      </c>
      <c r="K31" s="50"/>
      <c r="L31" s="16" t="s">
        <v>89</v>
      </c>
      <c r="M31" s="17"/>
      <c r="N31" s="17"/>
    </row>
    <row r="32" spans="2:14" ht="15" customHeight="1" x14ac:dyDescent="0.25">
      <c r="B32" s="27">
        <v>2</v>
      </c>
      <c r="C32" s="31" t="s">
        <v>202</v>
      </c>
      <c r="D32" s="45" t="s">
        <v>181</v>
      </c>
      <c r="E32" s="46" t="s">
        <v>182</v>
      </c>
      <c r="F32" s="46" t="s">
        <v>180</v>
      </c>
      <c r="G32" s="47">
        <v>46146</v>
      </c>
      <c r="H32" s="47"/>
      <c r="I32" s="48">
        <v>543000</v>
      </c>
      <c r="J32" s="49">
        <f t="shared" ref="J32:J37" si="2">I32</f>
        <v>543000</v>
      </c>
      <c r="K32" s="50"/>
      <c r="L32" s="16" t="s">
        <v>89</v>
      </c>
      <c r="M32" s="17"/>
      <c r="N32" s="17"/>
    </row>
    <row r="33" spans="2:14" ht="15" customHeight="1" x14ac:dyDescent="0.25">
      <c r="B33" s="27">
        <v>3</v>
      </c>
      <c r="C33" s="31" t="s">
        <v>202</v>
      </c>
      <c r="D33" s="45" t="s">
        <v>183</v>
      </c>
      <c r="E33" s="46" t="s">
        <v>184</v>
      </c>
      <c r="F33" s="46" t="s">
        <v>180</v>
      </c>
      <c r="G33" s="47">
        <v>46146</v>
      </c>
      <c r="H33" s="47"/>
      <c r="I33" s="48">
        <v>645300</v>
      </c>
      <c r="J33" s="49">
        <f t="shared" si="2"/>
        <v>645300</v>
      </c>
      <c r="K33" s="50"/>
      <c r="L33" s="16" t="s">
        <v>89</v>
      </c>
      <c r="M33" s="17"/>
      <c r="N33" s="17"/>
    </row>
    <row r="34" spans="2:14" ht="15" customHeight="1" x14ac:dyDescent="0.25">
      <c r="B34" s="27">
        <v>4</v>
      </c>
      <c r="C34" s="31" t="s">
        <v>202</v>
      </c>
      <c r="D34" s="45" t="s">
        <v>185</v>
      </c>
      <c r="E34" s="46" t="s">
        <v>186</v>
      </c>
      <c r="F34" s="46" t="s">
        <v>180</v>
      </c>
      <c r="G34" s="47">
        <v>46146</v>
      </c>
      <c r="H34" s="47"/>
      <c r="I34" s="48">
        <v>1063000</v>
      </c>
      <c r="J34" s="49">
        <f t="shared" si="2"/>
        <v>1063000</v>
      </c>
      <c r="K34" s="50"/>
      <c r="L34" s="16" t="s">
        <v>89</v>
      </c>
      <c r="M34" s="17"/>
      <c r="N34" s="17"/>
    </row>
    <row r="35" spans="2:14" ht="15" customHeight="1" x14ac:dyDescent="0.25">
      <c r="B35" s="27">
        <v>5</v>
      </c>
      <c r="C35" s="31" t="s">
        <v>202</v>
      </c>
      <c r="D35" s="45" t="s">
        <v>187</v>
      </c>
      <c r="E35" s="46" t="s">
        <v>188</v>
      </c>
      <c r="F35" s="46" t="s">
        <v>189</v>
      </c>
      <c r="G35" s="47">
        <v>46146</v>
      </c>
      <c r="H35" s="47"/>
      <c r="I35" s="48">
        <v>2126000</v>
      </c>
      <c r="J35" s="49">
        <f t="shared" si="2"/>
        <v>2126000</v>
      </c>
      <c r="K35" s="50"/>
      <c r="L35" s="16" t="s">
        <v>89</v>
      </c>
      <c r="M35" s="17"/>
      <c r="N35" s="17"/>
    </row>
    <row r="36" spans="2:14" ht="15" customHeight="1" x14ac:dyDescent="0.25">
      <c r="B36" s="27">
        <v>6</v>
      </c>
      <c r="C36" s="31" t="s">
        <v>202</v>
      </c>
      <c r="D36" s="45" t="s">
        <v>190</v>
      </c>
      <c r="E36" s="46" t="s">
        <v>191</v>
      </c>
      <c r="F36" s="46" t="s">
        <v>192</v>
      </c>
      <c r="G36" s="47">
        <v>46146</v>
      </c>
      <c r="H36" s="47"/>
      <c r="I36" s="48">
        <v>1103000</v>
      </c>
      <c r="J36" s="49">
        <f t="shared" si="2"/>
        <v>1103000</v>
      </c>
      <c r="K36" s="50"/>
      <c r="L36" s="16" t="s">
        <v>89</v>
      </c>
      <c r="M36" s="17"/>
      <c r="N36" s="17"/>
    </row>
    <row r="37" spans="2:14" ht="15" customHeight="1" x14ac:dyDescent="0.25">
      <c r="B37" s="27">
        <v>7</v>
      </c>
      <c r="C37" s="31" t="s">
        <v>202</v>
      </c>
      <c r="D37" s="45" t="s">
        <v>193</v>
      </c>
      <c r="E37" s="46" t="s">
        <v>194</v>
      </c>
      <c r="F37" s="46" t="s">
        <v>195</v>
      </c>
      <c r="G37" s="47">
        <v>46146</v>
      </c>
      <c r="H37" s="47"/>
      <c r="I37" s="48">
        <v>2763800</v>
      </c>
      <c r="J37" s="49">
        <f t="shared" si="2"/>
        <v>2763800</v>
      </c>
      <c r="K37" s="50"/>
      <c r="L37" s="16" t="s">
        <v>89</v>
      </c>
      <c r="M37" s="17"/>
      <c r="N37" s="17"/>
    </row>
    <row r="38" spans="2:14" ht="15" customHeight="1" x14ac:dyDescent="0.25">
      <c r="B38" s="27">
        <v>8</v>
      </c>
      <c r="C38" s="31" t="s">
        <v>202</v>
      </c>
      <c r="D38" s="45" t="s">
        <v>196</v>
      </c>
      <c r="E38" s="46" t="s">
        <v>186</v>
      </c>
      <c r="F38" s="46" t="s">
        <v>180</v>
      </c>
      <c r="G38" s="47">
        <v>46146</v>
      </c>
      <c r="H38" s="47"/>
      <c r="I38" s="48">
        <v>455156</v>
      </c>
      <c r="J38" s="49"/>
      <c r="K38" s="38">
        <f>I38</f>
        <v>455156</v>
      </c>
      <c r="L38" s="16" t="s">
        <v>89</v>
      </c>
      <c r="M38" s="17"/>
      <c r="N38" s="17"/>
    </row>
    <row r="39" spans="2:14" ht="15" customHeight="1" x14ac:dyDescent="0.25">
      <c r="B39" s="27">
        <v>9</v>
      </c>
      <c r="C39" s="31" t="s">
        <v>202</v>
      </c>
      <c r="D39" s="45" t="s">
        <v>197</v>
      </c>
      <c r="E39" s="46" t="s">
        <v>182</v>
      </c>
      <c r="F39" s="46" t="s">
        <v>180</v>
      </c>
      <c r="G39" s="47">
        <v>46146</v>
      </c>
      <c r="H39" s="47"/>
      <c r="I39" s="48">
        <v>91800</v>
      </c>
      <c r="J39" s="49"/>
      <c r="K39" s="38">
        <f t="shared" ref="K39:K41" si="3">I39</f>
        <v>91800</v>
      </c>
      <c r="L39" s="16" t="s">
        <v>89</v>
      </c>
      <c r="M39" s="17"/>
      <c r="N39" s="17"/>
    </row>
    <row r="40" spans="2:14" ht="15" customHeight="1" x14ac:dyDescent="0.25">
      <c r="B40" s="27">
        <v>10</v>
      </c>
      <c r="C40" s="31" t="s">
        <v>202</v>
      </c>
      <c r="D40" s="45" t="s">
        <v>198</v>
      </c>
      <c r="E40" s="46" t="s">
        <v>184</v>
      </c>
      <c r="F40" s="46" t="s">
        <v>180</v>
      </c>
      <c r="G40" s="47">
        <v>46146</v>
      </c>
      <c r="H40" s="47"/>
      <c r="I40" s="48">
        <v>144000</v>
      </c>
      <c r="J40" s="49"/>
      <c r="K40" s="38">
        <f t="shared" si="3"/>
        <v>144000</v>
      </c>
      <c r="L40" s="16" t="s">
        <v>89</v>
      </c>
      <c r="M40" s="17"/>
      <c r="N40" s="17"/>
    </row>
    <row r="41" spans="2:14" ht="15" customHeight="1" x14ac:dyDescent="0.25">
      <c r="B41" s="27">
        <v>11</v>
      </c>
      <c r="C41" s="31" t="s">
        <v>202</v>
      </c>
      <c r="D41" s="45" t="s">
        <v>199</v>
      </c>
      <c r="E41" s="46" t="s">
        <v>200</v>
      </c>
      <c r="F41" s="46" t="s">
        <v>201</v>
      </c>
      <c r="G41" s="47">
        <v>46146</v>
      </c>
      <c r="H41" s="47"/>
      <c r="I41" s="48">
        <v>435000</v>
      </c>
      <c r="J41" s="49"/>
      <c r="K41" s="38">
        <f t="shared" si="3"/>
        <v>435000</v>
      </c>
      <c r="L41" s="16" t="s">
        <v>89</v>
      </c>
      <c r="M41" s="17"/>
      <c r="N41" s="17"/>
    </row>
    <row r="42" spans="2:14" ht="15" customHeight="1" x14ac:dyDescent="0.25">
      <c r="B42" s="27">
        <v>12</v>
      </c>
      <c r="C42" s="8" t="s">
        <v>234</v>
      </c>
      <c r="D42" s="51" t="s">
        <v>228</v>
      </c>
      <c r="E42" s="51" t="s">
        <v>229</v>
      </c>
      <c r="F42" s="17" t="s">
        <v>230</v>
      </c>
      <c r="G42" s="47">
        <v>46146</v>
      </c>
      <c r="H42" s="52"/>
      <c r="I42" s="16">
        <v>273300</v>
      </c>
      <c r="J42" s="49"/>
      <c r="K42" s="38">
        <f>I42</f>
        <v>273300</v>
      </c>
      <c r="L42" s="16" t="s">
        <v>89</v>
      </c>
      <c r="M42" s="17"/>
      <c r="N42" s="17"/>
    </row>
    <row r="43" spans="2:14" ht="15.75" x14ac:dyDescent="0.25">
      <c r="B43" s="122" t="s">
        <v>27</v>
      </c>
      <c r="C43" s="123"/>
      <c r="D43" s="123"/>
      <c r="E43" s="123"/>
      <c r="F43" s="123"/>
      <c r="G43" s="123"/>
      <c r="H43" s="123"/>
      <c r="I43" s="124"/>
      <c r="J43" s="39">
        <f>SUM(J31:J42)</f>
        <v>8459200</v>
      </c>
      <c r="K43" s="40">
        <f>SUM(K31:K42)</f>
        <v>1399256</v>
      </c>
      <c r="L43" s="28"/>
      <c r="M43" s="41">
        <f>SUM(J43+K43)</f>
        <v>9858456</v>
      </c>
      <c r="N43" s="53"/>
    </row>
    <row r="44" spans="2:14" ht="15.75" x14ac:dyDescent="0.25">
      <c r="B44" s="139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63"/>
    </row>
    <row r="45" spans="2:14" x14ac:dyDescent="0.25">
      <c r="B45" s="55">
        <v>1</v>
      </c>
      <c r="C45" s="8" t="s">
        <v>88</v>
      </c>
      <c r="D45" s="51" t="s">
        <v>203</v>
      </c>
      <c r="E45" s="51" t="s">
        <v>204</v>
      </c>
      <c r="F45" s="17" t="s">
        <v>205</v>
      </c>
      <c r="G45" s="47">
        <v>46146</v>
      </c>
      <c r="H45" s="52"/>
      <c r="I45" s="16">
        <v>1614500</v>
      </c>
      <c r="J45" s="49">
        <f>I45</f>
        <v>1614500</v>
      </c>
      <c r="K45" s="50"/>
      <c r="L45" s="16" t="s">
        <v>89</v>
      </c>
      <c r="M45" s="17"/>
      <c r="N45" s="17"/>
    </row>
    <row r="46" spans="2:14" x14ac:dyDescent="0.25">
      <c r="B46" s="55">
        <v>2</v>
      </c>
      <c r="C46" s="8" t="s">
        <v>88</v>
      </c>
      <c r="D46" s="51" t="s">
        <v>206</v>
      </c>
      <c r="E46" s="51" t="s">
        <v>207</v>
      </c>
      <c r="F46" s="17" t="s">
        <v>165</v>
      </c>
      <c r="G46" s="47">
        <v>46146</v>
      </c>
      <c r="H46" s="52"/>
      <c r="I46" s="16">
        <v>551500</v>
      </c>
      <c r="J46" s="49">
        <f t="shared" ref="J46:J56" si="4">I46</f>
        <v>551500</v>
      </c>
      <c r="K46" s="50"/>
      <c r="L46" s="16" t="s">
        <v>89</v>
      </c>
      <c r="M46" s="17"/>
      <c r="N46" s="17"/>
    </row>
    <row r="47" spans="2:14" x14ac:dyDescent="0.25">
      <c r="B47" s="55">
        <v>3</v>
      </c>
      <c r="C47" s="8" t="s">
        <v>88</v>
      </c>
      <c r="D47" s="51" t="s">
        <v>208</v>
      </c>
      <c r="E47" s="51" t="s">
        <v>164</v>
      </c>
      <c r="F47" s="17" t="s">
        <v>165</v>
      </c>
      <c r="G47" s="47">
        <v>46146</v>
      </c>
      <c r="H47" s="52"/>
      <c r="I47" s="16">
        <v>2126000</v>
      </c>
      <c r="J47" s="49">
        <f t="shared" si="4"/>
        <v>2126000</v>
      </c>
      <c r="K47" s="50"/>
      <c r="L47" s="16" t="s">
        <v>89</v>
      </c>
      <c r="M47" s="17"/>
      <c r="N47" s="17"/>
    </row>
    <row r="48" spans="2:14" x14ac:dyDescent="0.25">
      <c r="B48" s="55">
        <v>4</v>
      </c>
      <c r="C48" s="8" t="s">
        <v>88</v>
      </c>
      <c r="D48" s="51" t="s">
        <v>209</v>
      </c>
      <c r="E48" s="51" t="s">
        <v>210</v>
      </c>
      <c r="F48" s="17" t="s">
        <v>211</v>
      </c>
      <c r="G48" s="47">
        <v>46146</v>
      </c>
      <c r="H48" s="52"/>
      <c r="I48" s="16">
        <v>215100</v>
      </c>
      <c r="J48" s="49">
        <f t="shared" si="4"/>
        <v>215100</v>
      </c>
      <c r="K48" s="50"/>
      <c r="L48" s="16" t="s">
        <v>89</v>
      </c>
      <c r="M48" s="17"/>
      <c r="N48" s="17"/>
    </row>
    <row r="49" spans="2:14" x14ac:dyDescent="0.25">
      <c r="B49" s="55">
        <v>5</v>
      </c>
      <c r="C49" s="8" t="s">
        <v>88</v>
      </c>
      <c r="D49" s="51" t="s">
        <v>212</v>
      </c>
      <c r="E49" s="51" t="s">
        <v>213</v>
      </c>
      <c r="F49" s="17" t="s">
        <v>211</v>
      </c>
      <c r="G49" s="47">
        <v>46146</v>
      </c>
      <c r="H49" s="52"/>
      <c r="I49" s="16">
        <v>1063000</v>
      </c>
      <c r="J49" s="49">
        <f t="shared" si="4"/>
        <v>1063000</v>
      </c>
      <c r="K49" s="50"/>
      <c r="L49" s="16" t="s">
        <v>89</v>
      </c>
      <c r="M49" s="17"/>
      <c r="N49" s="17"/>
    </row>
    <row r="50" spans="2:14" x14ac:dyDescent="0.25">
      <c r="B50" s="55">
        <v>6</v>
      </c>
      <c r="C50" s="8" t="s">
        <v>88</v>
      </c>
      <c r="D50" s="51" t="s">
        <v>214</v>
      </c>
      <c r="E50" s="51" t="s">
        <v>215</v>
      </c>
      <c r="F50" s="17" t="s">
        <v>211</v>
      </c>
      <c r="G50" s="47">
        <v>46146</v>
      </c>
      <c r="H50" s="52"/>
      <c r="I50" s="16">
        <v>112800</v>
      </c>
      <c r="J50" s="49">
        <f t="shared" si="4"/>
        <v>112800</v>
      </c>
      <c r="K50" s="50"/>
      <c r="L50" s="16" t="s">
        <v>89</v>
      </c>
      <c r="M50" s="17"/>
      <c r="N50" s="17"/>
    </row>
    <row r="51" spans="2:14" x14ac:dyDescent="0.25">
      <c r="B51" s="55">
        <v>7</v>
      </c>
      <c r="C51" s="8" t="s">
        <v>88</v>
      </c>
      <c r="D51" s="51" t="s">
        <v>216</v>
      </c>
      <c r="E51" s="51" t="s">
        <v>217</v>
      </c>
      <c r="F51" s="17" t="s">
        <v>218</v>
      </c>
      <c r="G51" s="47">
        <v>46146</v>
      </c>
      <c r="H51" s="52"/>
      <c r="I51" s="16">
        <v>1063000</v>
      </c>
      <c r="J51" s="49">
        <f t="shared" si="4"/>
        <v>1063000</v>
      </c>
      <c r="K51" s="50"/>
      <c r="L51" s="16" t="s">
        <v>89</v>
      </c>
      <c r="M51" s="17"/>
      <c r="N51" s="17"/>
    </row>
    <row r="52" spans="2:14" x14ac:dyDescent="0.25">
      <c r="B52" s="55">
        <v>8</v>
      </c>
      <c r="C52" s="8" t="s">
        <v>88</v>
      </c>
      <c r="D52" s="51" t="s">
        <v>219</v>
      </c>
      <c r="E52" s="51" t="s">
        <v>220</v>
      </c>
      <c r="F52" s="17" t="s">
        <v>218</v>
      </c>
      <c r="G52" s="47">
        <v>46146</v>
      </c>
      <c r="H52" s="52"/>
      <c r="I52" s="16">
        <v>2126000</v>
      </c>
      <c r="J52" s="49">
        <f t="shared" si="4"/>
        <v>2126000</v>
      </c>
      <c r="K52" s="50"/>
      <c r="L52" s="16" t="s">
        <v>239</v>
      </c>
      <c r="M52" s="17"/>
      <c r="N52" s="17"/>
    </row>
    <row r="53" spans="2:14" x14ac:dyDescent="0.25">
      <c r="B53" s="55">
        <v>9</v>
      </c>
      <c r="C53" s="8" t="s">
        <v>88</v>
      </c>
      <c r="D53" s="51" t="s">
        <v>221</v>
      </c>
      <c r="E53" s="51" t="s">
        <v>222</v>
      </c>
      <c r="F53" s="17" t="s">
        <v>223</v>
      </c>
      <c r="G53" s="47">
        <v>46146</v>
      </c>
      <c r="H53" s="52"/>
      <c r="I53" s="16">
        <v>1614500</v>
      </c>
      <c r="J53" s="49">
        <f t="shared" si="4"/>
        <v>1614500</v>
      </c>
      <c r="K53" s="50"/>
      <c r="L53" s="16" t="s">
        <v>89</v>
      </c>
      <c r="M53" s="17"/>
      <c r="N53" s="17"/>
    </row>
    <row r="54" spans="2:14" x14ac:dyDescent="0.25">
      <c r="B54" s="55">
        <v>10</v>
      </c>
      <c r="C54" s="8" t="s">
        <v>88</v>
      </c>
      <c r="D54" s="51" t="s">
        <v>224</v>
      </c>
      <c r="E54" s="51" t="s">
        <v>225</v>
      </c>
      <c r="F54" s="17" t="s">
        <v>226</v>
      </c>
      <c r="G54" s="47">
        <v>46146</v>
      </c>
      <c r="H54" s="52"/>
      <c r="I54" s="16">
        <v>215100</v>
      </c>
      <c r="J54" s="49">
        <f t="shared" si="4"/>
        <v>215100</v>
      </c>
      <c r="K54" s="50"/>
      <c r="L54" s="16" t="s">
        <v>239</v>
      </c>
      <c r="M54" s="17"/>
      <c r="N54" s="17"/>
    </row>
    <row r="55" spans="2:14" x14ac:dyDescent="0.25">
      <c r="B55" s="55">
        <v>11</v>
      </c>
      <c r="C55" s="8" t="s">
        <v>88</v>
      </c>
      <c r="D55" s="51" t="s">
        <v>227</v>
      </c>
      <c r="E55" s="51" t="s">
        <v>207</v>
      </c>
      <c r="F55" s="17" t="s">
        <v>165</v>
      </c>
      <c r="G55" s="47">
        <v>46146</v>
      </c>
      <c r="H55" s="52"/>
      <c r="I55" s="16">
        <v>342780</v>
      </c>
      <c r="J55" s="49"/>
      <c r="K55" s="15">
        <f>I55</f>
        <v>342780</v>
      </c>
      <c r="L55" s="16" t="s">
        <v>89</v>
      </c>
      <c r="M55" s="17"/>
      <c r="N55" s="17"/>
    </row>
    <row r="56" spans="2:14" x14ac:dyDescent="0.25">
      <c r="B56" s="55">
        <v>12</v>
      </c>
      <c r="C56" s="8" t="s">
        <v>146</v>
      </c>
      <c r="D56" s="51" t="s">
        <v>231</v>
      </c>
      <c r="E56" s="51" t="s">
        <v>232</v>
      </c>
      <c r="F56" s="17" t="s">
        <v>233</v>
      </c>
      <c r="G56" s="47">
        <v>46146</v>
      </c>
      <c r="H56" s="52"/>
      <c r="I56" s="16">
        <v>860400</v>
      </c>
      <c r="J56" s="49">
        <f t="shared" si="4"/>
        <v>860400</v>
      </c>
      <c r="K56" s="15"/>
      <c r="L56" s="16" t="s">
        <v>89</v>
      </c>
      <c r="M56" s="17"/>
      <c r="N56" s="17"/>
    </row>
    <row r="57" spans="2:14" x14ac:dyDescent="0.25">
      <c r="B57" s="55">
        <v>13</v>
      </c>
      <c r="C57" s="8"/>
      <c r="D57" s="51"/>
      <c r="E57" s="51"/>
      <c r="F57" s="17"/>
      <c r="G57" s="47"/>
      <c r="H57" s="52"/>
      <c r="I57" s="16"/>
      <c r="J57" s="49"/>
      <c r="K57" s="15"/>
      <c r="L57" s="16"/>
      <c r="M57" s="17"/>
      <c r="N57" s="17"/>
    </row>
    <row r="58" spans="2:14" x14ac:dyDescent="0.25">
      <c r="B58" s="55">
        <v>14</v>
      </c>
      <c r="C58" s="8"/>
      <c r="D58" s="51"/>
      <c r="E58" s="51"/>
      <c r="F58" s="17"/>
      <c r="G58" s="47"/>
      <c r="H58" s="52"/>
      <c r="I58" s="16"/>
      <c r="J58" s="49"/>
      <c r="K58" s="15"/>
      <c r="L58" s="16"/>
      <c r="M58" s="17"/>
      <c r="N58" s="17"/>
    </row>
    <row r="59" spans="2:14" ht="15.75" x14ac:dyDescent="0.25">
      <c r="B59" s="122" t="s">
        <v>27</v>
      </c>
      <c r="C59" s="123"/>
      <c r="D59" s="123"/>
      <c r="E59" s="123"/>
      <c r="F59" s="123"/>
      <c r="G59" s="123"/>
      <c r="H59" s="123"/>
      <c r="I59" s="124"/>
      <c r="J59" s="39">
        <f>SUM(J45:J58)-2126000-215100</f>
        <v>9220800</v>
      </c>
      <c r="K59" s="40">
        <f>SUM(K45:K58)</f>
        <v>342780</v>
      </c>
      <c r="L59" s="28"/>
      <c r="M59" s="41">
        <f>SUM(J59+K59)</f>
        <v>9563580</v>
      </c>
      <c r="N59" s="53"/>
    </row>
    <row r="60" spans="2:14" x14ac:dyDescent="0.25">
      <c r="D60" s="42"/>
      <c r="I60" s="43"/>
    </row>
    <row r="61" spans="2:14" ht="15.75" x14ac:dyDescent="0.25">
      <c r="D61" s="42"/>
      <c r="H61" s="122" t="s">
        <v>28</v>
      </c>
      <c r="I61" s="124"/>
      <c r="J61" s="39">
        <f>SUM(J59+J43)</f>
        <v>17680000</v>
      </c>
      <c r="K61" s="40">
        <f>SUM(K59+K43)</f>
        <v>1742036</v>
      </c>
      <c r="L61" s="28"/>
      <c r="M61" s="54"/>
      <c r="N61" s="21">
        <f>SUM(M59+M43)</f>
        <v>19422036</v>
      </c>
    </row>
    <row r="62" spans="2:14" x14ac:dyDescent="0.25">
      <c r="D62" s="42"/>
      <c r="I62" s="43"/>
    </row>
    <row r="63" spans="2:14" x14ac:dyDescent="0.25">
      <c r="D63" s="42"/>
      <c r="H63" s="125" t="s">
        <v>29</v>
      </c>
      <c r="I63" s="126"/>
      <c r="J63" s="56" t="s">
        <v>14</v>
      </c>
      <c r="K63" s="57" t="s">
        <v>15</v>
      </c>
      <c r="L63" s="17"/>
      <c r="M63" s="17"/>
      <c r="N63" s="17"/>
    </row>
    <row r="64" spans="2:14" ht="15.75" x14ac:dyDescent="0.25">
      <c r="D64" s="42"/>
      <c r="H64" s="129"/>
      <c r="I64" s="130"/>
      <c r="J64" s="39">
        <f>SUM(J61+J26)</f>
        <v>20223000</v>
      </c>
      <c r="K64" s="40">
        <f>SUM(K61+K26)</f>
        <v>8435436</v>
      </c>
      <c r="L64" s="28"/>
      <c r="M64" s="28"/>
      <c r="N64" s="58">
        <f>SUM(K64+J64)</f>
        <v>28658436</v>
      </c>
    </row>
    <row r="65" spans="4:14" x14ac:dyDescent="0.25">
      <c r="D65" s="42"/>
      <c r="I65" s="43"/>
      <c r="N65" s="59"/>
    </row>
    <row r="66" spans="4:14" x14ac:dyDescent="0.25">
      <c r="D66" s="2" t="s">
        <v>30</v>
      </c>
      <c r="E66" s="1"/>
      <c r="F66" s="1"/>
      <c r="G66" s="1"/>
      <c r="H66" s="1"/>
      <c r="I66" s="1"/>
      <c r="J66" s="1"/>
    </row>
    <row r="67" spans="4:14" x14ac:dyDescent="0.25">
      <c r="D67" s="2"/>
      <c r="E67" s="1"/>
      <c r="F67" s="1"/>
      <c r="G67" s="1"/>
      <c r="H67" s="1"/>
      <c r="I67" s="1"/>
      <c r="J67" s="1"/>
    </row>
    <row r="68" spans="4:14" x14ac:dyDescent="0.25">
      <c r="D68" s="3" t="s">
        <v>31</v>
      </c>
      <c r="E68" s="3"/>
      <c r="F68" s="3" t="s">
        <v>32</v>
      </c>
      <c r="G68" s="3"/>
      <c r="H68" s="3" t="s">
        <v>33</v>
      </c>
      <c r="I68" s="3"/>
      <c r="J68" s="3" t="s">
        <v>34</v>
      </c>
    </row>
    <row r="69" spans="4:14" x14ac:dyDescent="0.25">
      <c r="D69" s="3"/>
      <c r="E69" s="3"/>
      <c r="F69" s="3"/>
      <c r="G69" s="3"/>
      <c r="H69" s="3"/>
      <c r="I69" s="3"/>
      <c r="J69" s="3"/>
    </row>
    <row r="70" spans="4:14" x14ac:dyDescent="0.25">
      <c r="D70" s="3"/>
      <c r="E70" s="3"/>
      <c r="F70" s="3"/>
      <c r="G70" s="3"/>
      <c r="H70" s="3"/>
      <c r="I70" s="3"/>
      <c r="J70" s="3"/>
    </row>
    <row r="71" spans="4:14" x14ac:dyDescent="0.25">
      <c r="D71" s="3"/>
      <c r="E71" s="3"/>
      <c r="F71" s="3"/>
      <c r="G71" s="3"/>
      <c r="H71" s="3"/>
      <c r="I71" s="3"/>
      <c r="J71" s="3"/>
    </row>
    <row r="72" spans="4:14" x14ac:dyDescent="0.25">
      <c r="D72" s="3" t="s">
        <v>35</v>
      </c>
      <c r="E72" s="3"/>
      <c r="F72" s="3" t="s">
        <v>36</v>
      </c>
      <c r="G72" s="3"/>
      <c r="H72" s="3" t="s">
        <v>36</v>
      </c>
      <c r="I72" s="3"/>
      <c r="J72" s="3" t="s">
        <v>37</v>
      </c>
    </row>
    <row r="73" spans="4:14" x14ac:dyDescent="0.25">
      <c r="D73" s="42"/>
    </row>
    <row r="74" spans="4:14" x14ac:dyDescent="0.25">
      <c r="D74" s="42"/>
    </row>
    <row r="75" spans="4:14" x14ac:dyDescent="0.25">
      <c r="D75" s="42"/>
    </row>
    <row r="76" spans="4:14" x14ac:dyDescent="0.25">
      <c r="D76" s="42"/>
    </row>
    <row r="77" spans="4:14" x14ac:dyDescent="0.25">
      <c r="D77" s="42"/>
    </row>
  </sheetData>
  <mergeCells count="37">
    <mergeCell ref="B13:N13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2:I12"/>
    <mergeCell ref="N29:N30"/>
    <mergeCell ref="B19:I19"/>
    <mergeCell ref="B20:N20"/>
    <mergeCell ref="B23:I23"/>
    <mergeCell ref="G26:I26"/>
    <mergeCell ref="B28:D28"/>
    <mergeCell ref="B29:B30"/>
    <mergeCell ref="C29:C30"/>
    <mergeCell ref="D29:D30"/>
    <mergeCell ref="E29:E30"/>
    <mergeCell ref="F29:F30"/>
    <mergeCell ref="G29:G30"/>
    <mergeCell ref="H29:H30"/>
    <mergeCell ref="I29:I30"/>
    <mergeCell ref="J29:L29"/>
    <mergeCell ref="M29:M30"/>
    <mergeCell ref="B43:I43"/>
    <mergeCell ref="B44:N44"/>
    <mergeCell ref="B59:I59"/>
    <mergeCell ref="H61:I61"/>
    <mergeCell ref="H63:I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31A0-F866-49E1-8AB3-8E68639139AD}">
  <dimension ref="B2:P62"/>
  <sheetViews>
    <sheetView workbookViewId="0">
      <selection activeCell="L18" sqref="L18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2.42578125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242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240</v>
      </c>
      <c r="E8" s="10" t="s">
        <v>241</v>
      </c>
      <c r="F8" s="11" t="s">
        <v>104</v>
      </c>
      <c r="G8" s="12">
        <v>46120</v>
      </c>
      <c r="H8" s="12">
        <v>46134</v>
      </c>
      <c r="I8" s="13">
        <v>412800</v>
      </c>
      <c r="J8" s="14"/>
      <c r="K8" s="15">
        <f>I8</f>
        <v>412800</v>
      </c>
      <c r="L8" s="16" t="s">
        <v>89</v>
      </c>
      <c r="M8" s="16"/>
      <c r="N8" s="17"/>
    </row>
    <row r="9" spans="2:16" x14ac:dyDescent="0.25">
      <c r="B9" s="7">
        <v>2</v>
      </c>
      <c r="C9" s="8"/>
      <c r="D9" s="9"/>
      <c r="E9" s="10"/>
      <c r="F9" s="11"/>
      <c r="G9" s="12"/>
      <c r="H9" s="12"/>
      <c r="I9" s="13"/>
      <c r="J9" s="14"/>
      <c r="K9" s="15"/>
      <c r="L9" s="16"/>
      <c r="M9" s="16"/>
      <c r="N9" s="17"/>
    </row>
    <row r="10" spans="2:16" ht="15.75" x14ac:dyDescent="0.25">
      <c r="B10" s="122" t="s">
        <v>12</v>
      </c>
      <c r="C10" s="123"/>
      <c r="D10" s="123"/>
      <c r="E10" s="123"/>
      <c r="F10" s="123"/>
      <c r="G10" s="123"/>
      <c r="H10" s="123"/>
      <c r="I10" s="124"/>
      <c r="J10" s="18">
        <f>SUM(J8:J9)</f>
        <v>0</v>
      </c>
      <c r="K10" s="19">
        <f>SUM(K8:K9)</f>
        <v>412800</v>
      </c>
      <c r="L10" s="20"/>
      <c r="M10" s="21">
        <f>SUM(J10+K10)</f>
        <v>412800</v>
      </c>
      <c r="N10" s="21"/>
    </row>
    <row r="11" spans="2:16" ht="15.75" x14ac:dyDescent="0.25">
      <c r="B11" s="141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72"/>
    </row>
    <row r="12" spans="2:16" x14ac:dyDescent="0.25">
      <c r="B12" s="7">
        <v>1</v>
      </c>
      <c r="C12" s="22" t="s">
        <v>21</v>
      </c>
      <c r="D12" s="9" t="s">
        <v>243</v>
      </c>
      <c r="E12" s="23" t="s">
        <v>244</v>
      </c>
      <c r="F12" s="24" t="s">
        <v>245</v>
      </c>
      <c r="G12" s="25">
        <v>46119</v>
      </c>
      <c r="H12" s="25">
        <v>46133</v>
      </c>
      <c r="I12" s="26">
        <v>422400</v>
      </c>
      <c r="J12" s="14"/>
      <c r="K12" s="15">
        <f>I12</f>
        <v>422400</v>
      </c>
      <c r="L12" s="16" t="s">
        <v>89</v>
      </c>
      <c r="M12" s="16"/>
      <c r="N12" s="17"/>
    </row>
    <row r="13" spans="2:16" x14ac:dyDescent="0.25">
      <c r="B13" s="7">
        <v>2</v>
      </c>
      <c r="C13" s="22"/>
      <c r="D13" s="9" t="s">
        <v>246</v>
      </c>
      <c r="E13" s="23" t="s">
        <v>247</v>
      </c>
      <c r="F13" s="24" t="s">
        <v>248</v>
      </c>
      <c r="G13" s="25">
        <v>46119</v>
      </c>
      <c r="H13" s="25">
        <v>46133</v>
      </c>
      <c r="I13" s="26">
        <v>211200</v>
      </c>
      <c r="J13" s="14"/>
      <c r="K13" s="15">
        <f t="shared" ref="K13:K15" si="0">I13</f>
        <v>211200</v>
      </c>
      <c r="L13" s="16" t="s">
        <v>89</v>
      </c>
      <c r="M13" s="16"/>
      <c r="N13" s="17"/>
    </row>
    <row r="14" spans="2:16" x14ac:dyDescent="0.25">
      <c r="B14" s="7">
        <v>3</v>
      </c>
      <c r="C14" s="22"/>
      <c r="D14" s="9" t="s">
        <v>249</v>
      </c>
      <c r="E14" s="23" t="s">
        <v>250</v>
      </c>
      <c r="F14" s="24" t="s">
        <v>251</v>
      </c>
      <c r="G14" s="25">
        <v>46125</v>
      </c>
      <c r="H14" s="25">
        <v>46137</v>
      </c>
      <c r="I14" s="26">
        <v>156000</v>
      </c>
      <c r="J14" s="14"/>
      <c r="K14" s="15">
        <f t="shared" si="0"/>
        <v>156000</v>
      </c>
      <c r="L14" s="16" t="s">
        <v>89</v>
      </c>
      <c r="M14" s="16"/>
      <c r="N14" s="17"/>
    </row>
    <row r="15" spans="2:16" x14ac:dyDescent="0.25">
      <c r="B15" s="7">
        <v>4</v>
      </c>
      <c r="C15" s="22"/>
      <c r="D15" s="9" t="s">
        <v>166</v>
      </c>
      <c r="E15" s="23" t="s">
        <v>167</v>
      </c>
      <c r="F15" s="24" t="s">
        <v>168</v>
      </c>
      <c r="G15" s="25">
        <v>46133</v>
      </c>
      <c r="H15" s="25">
        <v>46146</v>
      </c>
      <c r="I15" s="26">
        <v>90000</v>
      </c>
      <c r="J15" s="14"/>
      <c r="K15" s="15">
        <f t="shared" si="0"/>
        <v>90000</v>
      </c>
      <c r="L15" s="16" t="s">
        <v>89</v>
      </c>
      <c r="M15" s="16"/>
      <c r="N15" s="17"/>
    </row>
    <row r="16" spans="2:16" ht="15.75" x14ac:dyDescent="0.25">
      <c r="B16" s="143" t="s">
        <v>12</v>
      </c>
      <c r="C16" s="144"/>
      <c r="D16" s="144"/>
      <c r="E16" s="144"/>
      <c r="F16" s="144"/>
      <c r="G16" s="144"/>
      <c r="H16" s="144"/>
      <c r="I16" s="170"/>
      <c r="J16" s="18">
        <f>SUM(J12:J15)</f>
        <v>0</v>
      </c>
      <c r="K16" s="19">
        <f>SUM(K12:K15)</f>
        <v>879600</v>
      </c>
      <c r="L16" s="28"/>
      <c r="M16" s="29">
        <f>SUM(J16+K16)</f>
        <v>879600</v>
      </c>
      <c r="N16" s="21"/>
    </row>
    <row r="17" spans="2:14" ht="15.75" x14ac:dyDescent="0.25">
      <c r="B17" s="147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71"/>
    </row>
    <row r="18" spans="2:14" ht="15.75" x14ac:dyDescent="0.25">
      <c r="B18" s="67">
        <v>1</v>
      </c>
      <c r="C18" s="31" t="s">
        <v>22</v>
      </c>
      <c r="D18" s="67" t="s">
        <v>252</v>
      </c>
      <c r="E18" s="67" t="s">
        <v>253</v>
      </c>
      <c r="F18" s="67" t="s">
        <v>254</v>
      </c>
      <c r="G18" s="74">
        <v>46134</v>
      </c>
      <c r="H18" s="74">
        <v>46147</v>
      </c>
      <c r="I18" s="73">
        <v>118000</v>
      </c>
      <c r="J18" s="78"/>
      <c r="K18" s="70">
        <f>I18</f>
        <v>118000</v>
      </c>
      <c r="L18" s="16" t="s">
        <v>89</v>
      </c>
      <c r="M18" s="65"/>
      <c r="N18" s="65"/>
    </row>
    <row r="19" spans="2:14" x14ac:dyDescent="0.25">
      <c r="B19" s="30"/>
      <c r="C19" s="31"/>
      <c r="D19" s="32"/>
      <c r="E19" s="46"/>
      <c r="F19" s="46"/>
      <c r="G19" s="47"/>
      <c r="H19" s="47"/>
      <c r="I19" s="48"/>
      <c r="J19" s="49"/>
      <c r="K19" s="38"/>
      <c r="L19" s="16"/>
      <c r="M19" s="16"/>
      <c r="N19" s="17"/>
    </row>
    <row r="20" spans="2:14" ht="15.75" x14ac:dyDescent="0.25">
      <c r="B20" s="157" t="s">
        <v>12</v>
      </c>
      <c r="C20" s="158"/>
      <c r="D20" s="158"/>
      <c r="E20" s="158"/>
      <c r="F20" s="158"/>
      <c r="G20" s="158"/>
      <c r="H20" s="158"/>
      <c r="I20" s="159"/>
      <c r="J20" s="60">
        <f>SUM(J19:J19)</f>
        <v>0</v>
      </c>
      <c r="K20" s="61">
        <f>SUM(K18:K19)</f>
        <v>118000</v>
      </c>
      <c r="L20" s="62"/>
      <c r="M20" s="63">
        <f>SUM(K20+J20)</f>
        <v>118000</v>
      </c>
      <c r="N20" s="64"/>
    </row>
    <row r="21" spans="2:14" x14ac:dyDescent="0.25">
      <c r="D21" s="42"/>
      <c r="I21" s="43"/>
      <c r="N21" s="44"/>
    </row>
    <row r="22" spans="2:14" x14ac:dyDescent="0.25">
      <c r="D22" s="42"/>
      <c r="I22" s="43"/>
      <c r="N22" s="44"/>
    </row>
    <row r="23" spans="2:14" ht="15.75" x14ac:dyDescent="0.25">
      <c r="D23" s="42"/>
      <c r="G23" s="150" t="s">
        <v>23</v>
      </c>
      <c r="H23" s="150"/>
      <c r="I23" s="150"/>
      <c r="J23" s="18">
        <f>SUM(J20+J16+J10)</f>
        <v>0</v>
      </c>
      <c r="K23" s="40">
        <f>SUM(K20+K16+K10)</f>
        <v>1410400</v>
      </c>
      <c r="L23" s="28"/>
      <c r="M23" s="28"/>
      <c r="N23" s="21">
        <f>SUM(J23+K23)</f>
        <v>1410400</v>
      </c>
    </row>
    <row r="24" spans="2:14" x14ac:dyDescent="0.25">
      <c r="D24" s="42"/>
      <c r="I24" s="43"/>
      <c r="N24" s="44"/>
    </row>
    <row r="25" spans="2:14" x14ac:dyDescent="0.25">
      <c r="B25" s="160" t="s">
        <v>24</v>
      </c>
      <c r="C25" s="160"/>
      <c r="D25" s="160"/>
      <c r="I25" s="43"/>
      <c r="N25" s="44"/>
    </row>
    <row r="26" spans="2:14" ht="15.75" x14ac:dyDescent="0.25">
      <c r="B26" s="154" t="s">
        <v>3</v>
      </c>
      <c r="C26" s="161" t="s">
        <v>25</v>
      </c>
      <c r="D26" s="154" t="s">
        <v>5</v>
      </c>
      <c r="E26" s="154" t="s">
        <v>6</v>
      </c>
      <c r="F26" s="154" t="s">
        <v>7</v>
      </c>
      <c r="G26" s="154" t="s">
        <v>8</v>
      </c>
      <c r="H26" s="154" t="s">
        <v>9</v>
      </c>
      <c r="I26" s="161" t="s">
        <v>26</v>
      </c>
      <c r="J26" s="143" t="s">
        <v>11</v>
      </c>
      <c r="K26" s="144"/>
      <c r="L26" s="170"/>
      <c r="M26" s="133" t="s">
        <v>12</v>
      </c>
      <c r="N26" s="154" t="s">
        <v>13</v>
      </c>
    </row>
    <row r="27" spans="2:14" ht="15.75" x14ac:dyDescent="0.25">
      <c r="B27" s="155"/>
      <c r="C27" s="162"/>
      <c r="D27" s="155"/>
      <c r="E27" s="155"/>
      <c r="F27" s="155"/>
      <c r="G27" s="155"/>
      <c r="H27" s="155"/>
      <c r="I27" s="162"/>
      <c r="J27" s="4" t="s">
        <v>14</v>
      </c>
      <c r="K27" s="5" t="s">
        <v>15</v>
      </c>
      <c r="L27" s="6" t="s">
        <v>16</v>
      </c>
      <c r="M27" s="134"/>
      <c r="N27" s="155"/>
    </row>
    <row r="28" spans="2:14" ht="15" customHeight="1" x14ac:dyDescent="0.25">
      <c r="B28" s="27">
        <v>1</v>
      </c>
      <c r="C28" s="31" t="s">
        <v>146</v>
      </c>
      <c r="D28" s="45" t="s">
        <v>255</v>
      </c>
      <c r="E28" s="46" t="s">
        <v>256</v>
      </c>
      <c r="F28" s="46" t="s">
        <v>257</v>
      </c>
      <c r="G28" s="47">
        <v>46147</v>
      </c>
      <c r="H28" s="47"/>
      <c r="I28" s="48">
        <v>435000</v>
      </c>
      <c r="J28" s="49"/>
      <c r="K28" s="38">
        <v>391500</v>
      </c>
      <c r="L28" s="16" t="s">
        <v>89</v>
      </c>
      <c r="M28" s="17"/>
      <c r="N28" s="17"/>
    </row>
    <row r="29" spans="2:14" ht="15" customHeight="1" x14ac:dyDescent="0.25">
      <c r="B29" s="27">
        <v>2</v>
      </c>
      <c r="C29" s="31"/>
      <c r="D29" s="45"/>
      <c r="E29" s="46"/>
      <c r="F29" s="46"/>
      <c r="G29" s="47"/>
      <c r="H29" s="47"/>
      <c r="I29" s="48"/>
      <c r="J29" s="49"/>
      <c r="K29" s="50"/>
      <c r="L29" s="16"/>
      <c r="M29" s="17"/>
      <c r="N29" s="17"/>
    </row>
    <row r="30" spans="2:14" ht="15" customHeight="1" x14ac:dyDescent="0.25">
      <c r="B30" s="27">
        <v>3</v>
      </c>
      <c r="C30" s="31"/>
      <c r="D30" s="45"/>
      <c r="E30" s="46"/>
      <c r="F30" s="46"/>
      <c r="G30" s="47"/>
      <c r="H30" s="47"/>
      <c r="I30" s="48"/>
      <c r="J30" s="49"/>
      <c r="K30" s="50"/>
      <c r="L30" s="16"/>
      <c r="M30" s="17"/>
      <c r="N30" s="17"/>
    </row>
    <row r="31" spans="2:14" ht="15.75" x14ac:dyDescent="0.25">
      <c r="B31" s="122" t="s">
        <v>27</v>
      </c>
      <c r="C31" s="123"/>
      <c r="D31" s="123"/>
      <c r="E31" s="123"/>
      <c r="F31" s="123"/>
      <c r="G31" s="123"/>
      <c r="H31" s="123"/>
      <c r="I31" s="124"/>
      <c r="J31" s="39">
        <f>SUM(J28:J30)</f>
        <v>0</v>
      </c>
      <c r="K31" s="40">
        <f>SUM(K28:K30)</f>
        <v>391500</v>
      </c>
      <c r="L31" s="28"/>
      <c r="M31" s="41">
        <f>SUM(J31+K31)</f>
        <v>391500</v>
      </c>
      <c r="N31" s="53"/>
    </row>
    <row r="32" spans="2:14" ht="15.75" x14ac:dyDescent="0.25">
      <c r="B32" s="139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63"/>
    </row>
    <row r="33" spans="2:14" x14ac:dyDescent="0.25">
      <c r="B33" s="55">
        <v>1</v>
      </c>
      <c r="C33" s="8" t="s">
        <v>87</v>
      </c>
      <c r="D33" s="51" t="s">
        <v>264</v>
      </c>
      <c r="E33" s="51" t="s">
        <v>265</v>
      </c>
      <c r="F33" s="17" t="s">
        <v>266</v>
      </c>
      <c r="G33" s="47">
        <v>46147</v>
      </c>
      <c r="H33" s="52"/>
      <c r="I33" s="16">
        <v>215100</v>
      </c>
      <c r="J33" s="49">
        <f>I33</f>
        <v>215100</v>
      </c>
      <c r="K33" s="50"/>
      <c r="L33" s="16" t="s">
        <v>89</v>
      </c>
      <c r="M33" s="17"/>
      <c r="N33" s="17"/>
    </row>
    <row r="34" spans="2:14" x14ac:dyDescent="0.25">
      <c r="B34" s="27">
        <v>2</v>
      </c>
      <c r="C34" s="8" t="s">
        <v>87</v>
      </c>
      <c r="D34" s="51" t="s">
        <v>267</v>
      </c>
      <c r="E34" s="51" t="s">
        <v>268</v>
      </c>
      <c r="F34" s="17" t="s">
        <v>266</v>
      </c>
      <c r="G34" s="47">
        <v>46147</v>
      </c>
      <c r="H34" s="52"/>
      <c r="I34" s="16">
        <v>215100</v>
      </c>
      <c r="J34" s="49">
        <f t="shared" ref="J34:J36" si="1">I34</f>
        <v>215100</v>
      </c>
      <c r="K34" s="50"/>
      <c r="L34" s="16" t="s">
        <v>89</v>
      </c>
      <c r="M34" s="17"/>
      <c r="N34" s="17"/>
    </row>
    <row r="35" spans="2:14" x14ac:dyDescent="0.25">
      <c r="B35" s="55">
        <v>3</v>
      </c>
      <c r="C35" s="8" t="s">
        <v>87</v>
      </c>
      <c r="D35" s="51" t="s">
        <v>269</v>
      </c>
      <c r="E35" s="51" t="s">
        <v>270</v>
      </c>
      <c r="F35" s="17" t="s">
        <v>271</v>
      </c>
      <c r="G35" s="47">
        <v>46147</v>
      </c>
      <c r="H35" s="52"/>
      <c r="I35" s="16">
        <v>1103000</v>
      </c>
      <c r="J35" s="49">
        <f t="shared" si="1"/>
        <v>1103000</v>
      </c>
      <c r="K35" s="50"/>
      <c r="L35" s="16" t="s">
        <v>89</v>
      </c>
      <c r="M35" s="17"/>
      <c r="N35" s="17"/>
    </row>
    <row r="36" spans="2:14" x14ac:dyDescent="0.25">
      <c r="B36" s="27">
        <v>4</v>
      </c>
      <c r="C36" s="8" t="s">
        <v>87</v>
      </c>
      <c r="D36" s="51" t="s">
        <v>272</v>
      </c>
      <c r="E36" s="51" t="s">
        <v>273</v>
      </c>
      <c r="F36" s="17" t="s">
        <v>274</v>
      </c>
      <c r="G36" s="47">
        <v>46147</v>
      </c>
      <c r="H36" s="52"/>
      <c r="I36" s="16">
        <v>1063000</v>
      </c>
      <c r="J36" s="49">
        <f t="shared" si="1"/>
        <v>1063000</v>
      </c>
      <c r="K36" s="15"/>
      <c r="L36" s="16" t="s">
        <v>89</v>
      </c>
      <c r="M36" s="17"/>
      <c r="N36" s="17"/>
    </row>
    <row r="37" spans="2:14" x14ac:dyDescent="0.25">
      <c r="B37" s="55">
        <v>5</v>
      </c>
      <c r="C37" s="8" t="s">
        <v>87</v>
      </c>
      <c r="D37" s="51" t="s">
        <v>275</v>
      </c>
      <c r="E37" s="51" t="s">
        <v>276</v>
      </c>
      <c r="F37" s="17" t="s">
        <v>266</v>
      </c>
      <c r="G37" s="47">
        <v>46147</v>
      </c>
      <c r="H37" s="52"/>
      <c r="I37" s="16">
        <v>261000</v>
      </c>
      <c r="J37" s="49"/>
      <c r="K37" s="15">
        <f>I37</f>
        <v>261000</v>
      </c>
      <c r="L37" s="16" t="s">
        <v>89</v>
      </c>
      <c r="M37" s="17"/>
      <c r="N37" s="17"/>
    </row>
    <row r="38" spans="2:14" x14ac:dyDescent="0.25">
      <c r="B38" s="27">
        <v>6</v>
      </c>
      <c r="C38" s="31" t="s">
        <v>234</v>
      </c>
      <c r="D38" s="45" t="s">
        <v>258</v>
      </c>
      <c r="E38" s="46" t="s">
        <v>259</v>
      </c>
      <c r="F38" s="46" t="s">
        <v>230</v>
      </c>
      <c r="G38" s="47">
        <v>46147</v>
      </c>
      <c r="H38" s="47"/>
      <c r="I38" s="48">
        <v>551500</v>
      </c>
      <c r="J38" s="49">
        <f>I38</f>
        <v>551500</v>
      </c>
      <c r="K38" s="15"/>
      <c r="L38" s="16" t="s">
        <v>239</v>
      </c>
      <c r="M38" s="17"/>
      <c r="N38" s="17"/>
    </row>
    <row r="39" spans="2:14" x14ac:dyDescent="0.25">
      <c r="B39" s="55">
        <v>7</v>
      </c>
      <c r="C39" s="31" t="s">
        <v>234</v>
      </c>
      <c r="D39" s="45" t="s">
        <v>260</v>
      </c>
      <c r="E39" s="46" t="s">
        <v>170</v>
      </c>
      <c r="F39" s="46" t="s">
        <v>171</v>
      </c>
      <c r="G39" s="47">
        <v>46147</v>
      </c>
      <c r="H39" s="47"/>
      <c r="I39" s="48">
        <v>858400</v>
      </c>
      <c r="J39" s="49">
        <f t="shared" ref="J39:J41" si="2">I39</f>
        <v>858400</v>
      </c>
      <c r="K39" s="15"/>
      <c r="L39" s="16" t="s">
        <v>89</v>
      </c>
      <c r="M39" s="17"/>
      <c r="N39" s="17"/>
    </row>
    <row r="40" spans="2:14" x14ac:dyDescent="0.25">
      <c r="B40" s="27">
        <v>8</v>
      </c>
      <c r="C40" s="31" t="s">
        <v>234</v>
      </c>
      <c r="D40" s="45" t="s">
        <v>261</v>
      </c>
      <c r="E40" s="46" t="s">
        <v>262</v>
      </c>
      <c r="F40" s="46" t="s">
        <v>248</v>
      </c>
      <c r="G40" s="47">
        <v>46147</v>
      </c>
      <c r="H40" s="47"/>
      <c r="I40" s="48">
        <v>430200</v>
      </c>
      <c r="J40" s="49">
        <f t="shared" si="2"/>
        <v>430200</v>
      </c>
      <c r="K40" s="15"/>
      <c r="L40" s="16" t="s">
        <v>89</v>
      </c>
      <c r="M40" s="17"/>
      <c r="N40" s="17"/>
    </row>
    <row r="41" spans="2:14" x14ac:dyDescent="0.25">
      <c r="B41" s="55">
        <v>9</v>
      </c>
      <c r="C41" s="31" t="s">
        <v>234</v>
      </c>
      <c r="D41" s="45" t="s">
        <v>263</v>
      </c>
      <c r="E41" s="46" t="s">
        <v>173</v>
      </c>
      <c r="F41" s="46" t="s">
        <v>174</v>
      </c>
      <c r="G41" s="47">
        <v>46147</v>
      </c>
      <c r="H41" s="47"/>
      <c r="I41" s="48">
        <v>215100</v>
      </c>
      <c r="J41" s="49">
        <f t="shared" si="2"/>
        <v>215100</v>
      </c>
      <c r="K41" s="15"/>
      <c r="L41" s="16" t="s">
        <v>89</v>
      </c>
      <c r="M41" s="17"/>
      <c r="N41" s="17"/>
    </row>
    <row r="42" spans="2:14" x14ac:dyDescent="0.25">
      <c r="B42" s="27">
        <v>10</v>
      </c>
      <c r="C42" s="8"/>
      <c r="D42" s="51"/>
      <c r="E42" s="51"/>
      <c r="F42" s="17"/>
      <c r="G42" s="47"/>
      <c r="H42" s="52"/>
      <c r="I42" s="16"/>
      <c r="J42" s="49"/>
      <c r="K42" s="15"/>
      <c r="L42" s="16"/>
      <c r="M42" s="17"/>
      <c r="N42" s="17"/>
    </row>
    <row r="43" spans="2:14" x14ac:dyDescent="0.25">
      <c r="B43" s="55">
        <v>11</v>
      </c>
      <c r="C43" s="8"/>
      <c r="D43" s="51"/>
      <c r="E43" s="51"/>
      <c r="F43" s="17"/>
      <c r="G43" s="47"/>
      <c r="H43" s="52"/>
      <c r="I43" s="16"/>
      <c r="J43" s="49"/>
      <c r="K43" s="15"/>
      <c r="L43" s="16"/>
      <c r="M43" s="17"/>
      <c r="N43" s="17"/>
    </row>
    <row r="44" spans="2:14" ht="15.75" x14ac:dyDescent="0.25">
      <c r="B44" s="122" t="s">
        <v>27</v>
      </c>
      <c r="C44" s="123"/>
      <c r="D44" s="123"/>
      <c r="E44" s="123"/>
      <c r="F44" s="123"/>
      <c r="G44" s="123"/>
      <c r="H44" s="123"/>
      <c r="I44" s="124"/>
      <c r="J44" s="39">
        <f>SUM(J33:J43)-551500</f>
        <v>4099900</v>
      </c>
      <c r="K44" s="40">
        <f>SUM(K33:K43)</f>
        <v>261000</v>
      </c>
      <c r="L44" s="28"/>
      <c r="M44" s="41">
        <f>SUM(J44+K44)</f>
        <v>4360900</v>
      </c>
      <c r="N44" s="53"/>
    </row>
    <row r="45" spans="2:14" x14ac:dyDescent="0.25">
      <c r="D45" s="42"/>
      <c r="I45" s="43"/>
    </row>
    <row r="46" spans="2:14" ht="15.75" x14ac:dyDescent="0.25">
      <c r="D46" s="42"/>
      <c r="H46" s="122" t="s">
        <v>28</v>
      </c>
      <c r="I46" s="124"/>
      <c r="J46" s="39">
        <f>SUM(J44+J31)</f>
        <v>4099900</v>
      </c>
      <c r="K46" s="40">
        <f>SUM(K44+K31)</f>
        <v>652500</v>
      </c>
      <c r="L46" s="28"/>
      <c r="M46" s="54"/>
      <c r="N46" s="21">
        <f>SUM(M44+M31)</f>
        <v>4752400</v>
      </c>
    </row>
    <row r="47" spans="2:14" x14ac:dyDescent="0.25">
      <c r="D47" s="42"/>
      <c r="I47" s="43"/>
    </row>
    <row r="48" spans="2:14" x14ac:dyDescent="0.25">
      <c r="D48" s="42"/>
      <c r="H48" s="125" t="s">
        <v>29</v>
      </c>
      <c r="I48" s="126"/>
      <c r="J48" s="56" t="s">
        <v>14</v>
      </c>
      <c r="K48" s="57" t="s">
        <v>15</v>
      </c>
      <c r="L48" s="17"/>
      <c r="M48" s="17"/>
      <c r="N48" s="17"/>
    </row>
    <row r="49" spans="4:14" ht="15.75" x14ac:dyDescent="0.25">
      <c r="D49" s="42"/>
      <c r="H49" s="129"/>
      <c r="I49" s="130"/>
      <c r="J49" s="39">
        <f>SUM(J46+J23)</f>
        <v>4099900</v>
      </c>
      <c r="K49" s="40">
        <f>SUM(K46+K23)</f>
        <v>2062900</v>
      </c>
      <c r="L49" s="28"/>
      <c r="M49" s="28"/>
      <c r="N49" s="58">
        <f>SUM(K49+J49)</f>
        <v>6162800</v>
      </c>
    </row>
    <row r="50" spans="4:14" x14ac:dyDescent="0.25">
      <c r="D50" s="42"/>
      <c r="I50" s="43"/>
      <c r="N50" s="59"/>
    </row>
    <row r="51" spans="4:14" x14ac:dyDescent="0.25">
      <c r="D51" s="2" t="s">
        <v>30</v>
      </c>
      <c r="E51" s="1"/>
      <c r="F51" s="1"/>
      <c r="G51" s="1"/>
      <c r="H51" s="1"/>
      <c r="I51" s="1"/>
      <c r="J51" s="1"/>
    </row>
    <row r="52" spans="4:14" x14ac:dyDescent="0.25">
      <c r="D52" s="2"/>
      <c r="E52" s="1"/>
      <c r="F52" s="1"/>
      <c r="G52" s="1"/>
      <c r="H52" s="1"/>
      <c r="I52" s="1"/>
      <c r="J52" s="1"/>
    </row>
    <row r="53" spans="4:14" x14ac:dyDescent="0.25">
      <c r="D53" s="3" t="s">
        <v>31</v>
      </c>
      <c r="E53" s="3"/>
      <c r="F53" s="3" t="s">
        <v>32</v>
      </c>
      <c r="G53" s="3"/>
      <c r="H53" s="3" t="s">
        <v>33</v>
      </c>
      <c r="I53" s="3"/>
      <c r="J53" s="3" t="s">
        <v>34</v>
      </c>
    </row>
    <row r="54" spans="4:14" x14ac:dyDescent="0.25">
      <c r="D54" s="3"/>
      <c r="E54" s="3"/>
      <c r="F54" s="3"/>
      <c r="G54" s="3"/>
      <c r="H54" s="3"/>
      <c r="I54" s="3"/>
      <c r="J54" s="3"/>
    </row>
    <row r="55" spans="4:14" x14ac:dyDescent="0.25">
      <c r="D55" s="3"/>
      <c r="E55" s="3"/>
      <c r="F55" s="3"/>
      <c r="G55" s="3"/>
      <c r="H55" s="3"/>
      <c r="I55" s="3"/>
      <c r="J55" s="3"/>
    </row>
    <row r="56" spans="4:14" x14ac:dyDescent="0.25">
      <c r="D56" s="3"/>
      <c r="E56" s="3"/>
      <c r="F56" s="3"/>
      <c r="G56" s="3"/>
      <c r="H56" s="3"/>
      <c r="I56" s="3"/>
      <c r="J56" s="3"/>
    </row>
    <row r="57" spans="4:14" x14ac:dyDescent="0.25">
      <c r="D57" s="3" t="s">
        <v>35</v>
      </c>
      <c r="E57" s="3"/>
      <c r="F57" s="3" t="s">
        <v>36</v>
      </c>
      <c r="G57" s="3"/>
      <c r="H57" s="3" t="s">
        <v>36</v>
      </c>
      <c r="I57" s="3"/>
      <c r="J57" s="3" t="s">
        <v>37</v>
      </c>
    </row>
    <row r="58" spans="4:14" x14ac:dyDescent="0.25">
      <c r="D58" s="42"/>
    </row>
    <row r="59" spans="4:14" x14ac:dyDescent="0.25">
      <c r="D59" s="42"/>
    </row>
    <row r="60" spans="4:14" x14ac:dyDescent="0.25">
      <c r="D60" s="42"/>
    </row>
    <row r="61" spans="4:14" x14ac:dyDescent="0.25">
      <c r="D61" s="42"/>
    </row>
    <row r="62" spans="4:14" x14ac:dyDescent="0.25">
      <c r="D62" s="42"/>
    </row>
  </sheetData>
  <mergeCells count="37">
    <mergeCell ref="B31:I31"/>
    <mergeCell ref="B32:N32"/>
    <mergeCell ref="B44:I44"/>
    <mergeCell ref="H46:I46"/>
    <mergeCell ref="H48:I49"/>
    <mergeCell ref="N26:N27"/>
    <mergeCell ref="B16:I16"/>
    <mergeCell ref="B17:N17"/>
    <mergeCell ref="B20:I20"/>
    <mergeCell ref="G23:I23"/>
    <mergeCell ref="B25:D25"/>
    <mergeCell ref="B26:B27"/>
    <mergeCell ref="C26:C27"/>
    <mergeCell ref="D26:D27"/>
    <mergeCell ref="E26:E27"/>
    <mergeCell ref="F26:F27"/>
    <mergeCell ref="G26:G27"/>
    <mergeCell ref="H26:H27"/>
    <mergeCell ref="I26:I27"/>
    <mergeCell ref="J26:L26"/>
    <mergeCell ref="M26:M27"/>
    <mergeCell ref="B11:N11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BC965-BF9D-4116-AEB4-4EE85F36E377}">
  <dimension ref="B2:P72"/>
  <sheetViews>
    <sheetView workbookViewId="0">
      <selection activeCell="P21" sqref="P21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1.42578125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277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278</v>
      </c>
      <c r="E8" s="10" t="s">
        <v>279</v>
      </c>
      <c r="F8" s="11" t="s">
        <v>280</v>
      </c>
      <c r="G8" s="12">
        <v>46135</v>
      </c>
      <c r="H8" s="12">
        <v>46148</v>
      </c>
      <c r="I8" s="13">
        <v>645300</v>
      </c>
      <c r="J8" s="14">
        <v>300000</v>
      </c>
      <c r="K8" s="15"/>
      <c r="L8" s="16" t="s">
        <v>235</v>
      </c>
      <c r="M8" s="16"/>
      <c r="N8" s="17"/>
    </row>
    <row r="9" spans="2:16" x14ac:dyDescent="0.25">
      <c r="B9" s="7">
        <v>2</v>
      </c>
      <c r="C9" s="8"/>
      <c r="D9" s="9" t="s">
        <v>281</v>
      </c>
      <c r="E9" s="10" t="s">
        <v>282</v>
      </c>
      <c r="F9" s="11" t="s">
        <v>39</v>
      </c>
      <c r="G9" s="12">
        <v>46135</v>
      </c>
      <c r="H9" s="12">
        <v>46148</v>
      </c>
      <c r="I9" s="13">
        <v>870900</v>
      </c>
      <c r="J9" s="14">
        <f t="shared" ref="J9:J12" si="0">I9</f>
        <v>870900</v>
      </c>
      <c r="K9" s="15"/>
      <c r="L9" s="16" t="s">
        <v>89</v>
      </c>
      <c r="M9" s="16"/>
      <c r="N9" s="17"/>
    </row>
    <row r="10" spans="2:16" x14ac:dyDescent="0.25">
      <c r="B10" s="7">
        <v>3</v>
      </c>
      <c r="C10" s="8"/>
      <c r="D10" s="9" t="s">
        <v>283</v>
      </c>
      <c r="E10" s="10" t="s">
        <v>284</v>
      </c>
      <c r="F10" s="11" t="s">
        <v>285</v>
      </c>
      <c r="G10" s="12">
        <v>46135</v>
      </c>
      <c r="H10" s="12">
        <v>46148</v>
      </c>
      <c r="I10" s="13">
        <v>658800</v>
      </c>
      <c r="J10" s="14">
        <f t="shared" si="0"/>
        <v>658800</v>
      </c>
      <c r="K10" s="15"/>
      <c r="L10" s="16" t="s">
        <v>89</v>
      </c>
      <c r="M10" s="16"/>
      <c r="N10" s="17"/>
    </row>
    <row r="11" spans="2:16" x14ac:dyDescent="0.25">
      <c r="B11" s="7">
        <v>4</v>
      </c>
      <c r="C11" s="8"/>
      <c r="D11" s="9" t="s">
        <v>286</v>
      </c>
      <c r="E11" s="10" t="s">
        <v>287</v>
      </c>
      <c r="F11" s="11" t="s">
        <v>280</v>
      </c>
      <c r="G11" s="12">
        <v>46135</v>
      </c>
      <c r="H11" s="12">
        <v>46148</v>
      </c>
      <c r="I11" s="13">
        <v>1639500</v>
      </c>
      <c r="J11" s="14">
        <f t="shared" si="0"/>
        <v>1639500</v>
      </c>
      <c r="K11" s="15"/>
      <c r="L11" s="16" t="s">
        <v>89</v>
      </c>
      <c r="M11" s="16"/>
      <c r="N11" s="17"/>
    </row>
    <row r="12" spans="2:16" x14ac:dyDescent="0.25">
      <c r="B12" s="7">
        <v>5</v>
      </c>
      <c r="C12" s="8"/>
      <c r="D12" s="9" t="s">
        <v>288</v>
      </c>
      <c r="E12" s="10" t="s">
        <v>289</v>
      </c>
      <c r="F12" s="11" t="s">
        <v>280</v>
      </c>
      <c r="G12" s="12">
        <v>46135</v>
      </c>
      <c r="H12" s="12">
        <v>46148</v>
      </c>
      <c r="I12" s="13">
        <v>1301100</v>
      </c>
      <c r="J12" s="14">
        <f t="shared" si="0"/>
        <v>1301100</v>
      </c>
      <c r="K12" s="15"/>
      <c r="L12" s="16" t="s">
        <v>89</v>
      </c>
      <c r="M12" s="16"/>
      <c r="N12" s="17"/>
    </row>
    <row r="13" spans="2:16" x14ac:dyDescent="0.25">
      <c r="B13" s="7">
        <v>7</v>
      </c>
      <c r="C13" s="8"/>
      <c r="D13" s="9" t="s">
        <v>290</v>
      </c>
      <c r="E13" s="10" t="s">
        <v>291</v>
      </c>
      <c r="F13" s="11" t="s">
        <v>292</v>
      </c>
      <c r="G13" s="12">
        <v>46135</v>
      </c>
      <c r="H13" s="12">
        <v>46148</v>
      </c>
      <c r="I13" s="13">
        <v>1543200</v>
      </c>
      <c r="J13" s="14">
        <v>843000</v>
      </c>
      <c r="K13" s="15"/>
      <c r="L13" s="16" t="s">
        <v>235</v>
      </c>
      <c r="M13" s="16"/>
      <c r="N13" s="17"/>
    </row>
    <row r="14" spans="2:16" x14ac:dyDescent="0.25">
      <c r="B14" s="7">
        <v>8</v>
      </c>
      <c r="C14" s="8"/>
      <c r="D14" s="9"/>
      <c r="E14" s="10" t="s">
        <v>293</v>
      </c>
      <c r="F14" s="11" t="s">
        <v>294</v>
      </c>
      <c r="G14" s="12">
        <v>46093</v>
      </c>
      <c r="H14" s="12">
        <v>46106</v>
      </c>
      <c r="I14" s="13">
        <v>221000</v>
      </c>
      <c r="J14" s="14"/>
      <c r="K14" s="15">
        <f>I14</f>
        <v>221000</v>
      </c>
      <c r="L14" s="16" t="s">
        <v>89</v>
      </c>
      <c r="M14" s="16"/>
      <c r="N14" s="17"/>
    </row>
    <row r="15" spans="2:16" x14ac:dyDescent="0.25">
      <c r="B15" s="7">
        <v>9</v>
      </c>
      <c r="C15" s="8"/>
      <c r="D15" s="9" t="s">
        <v>236</v>
      </c>
      <c r="E15" s="10" t="s">
        <v>237</v>
      </c>
      <c r="F15" s="11" t="s">
        <v>238</v>
      </c>
      <c r="G15" s="12">
        <v>46122</v>
      </c>
      <c r="H15" s="12">
        <v>46136</v>
      </c>
      <c r="I15" s="13">
        <v>4151920</v>
      </c>
      <c r="J15" s="14"/>
      <c r="K15" s="15">
        <f t="shared" ref="K15:K16" si="1">I15</f>
        <v>4151920</v>
      </c>
      <c r="L15" s="16" t="s">
        <v>89</v>
      </c>
      <c r="M15" s="16"/>
      <c r="N15" s="17"/>
    </row>
    <row r="16" spans="2:16" x14ac:dyDescent="0.25">
      <c r="B16" s="7">
        <v>10</v>
      </c>
      <c r="C16" s="8"/>
      <c r="D16" s="9" t="s">
        <v>295</v>
      </c>
      <c r="E16" s="10" t="s">
        <v>284</v>
      </c>
      <c r="F16" s="11" t="s">
        <v>285</v>
      </c>
      <c r="G16" s="12">
        <v>46135</v>
      </c>
      <c r="H16" s="12">
        <v>46148</v>
      </c>
      <c r="I16" s="13">
        <v>103500</v>
      </c>
      <c r="J16" s="14"/>
      <c r="K16" s="15">
        <f t="shared" si="1"/>
        <v>103500</v>
      </c>
      <c r="L16" s="16"/>
      <c r="M16" s="16"/>
      <c r="N16" s="17"/>
    </row>
    <row r="17" spans="2:14" ht="15.75" x14ac:dyDescent="0.25">
      <c r="B17" s="122" t="s">
        <v>12</v>
      </c>
      <c r="C17" s="123"/>
      <c r="D17" s="123"/>
      <c r="E17" s="123"/>
      <c r="F17" s="123"/>
      <c r="G17" s="123"/>
      <c r="H17" s="123"/>
      <c r="I17" s="124"/>
      <c r="J17" s="18">
        <f>SUM(J8:J16)</f>
        <v>5613300</v>
      </c>
      <c r="K17" s="19">
        <f>SUM(K8:K16)</f>
        <v>4476420</v>
      </c>
      <c r="L17" s="20"/>
      <c r="M17" s="21">
        <f>SUM(J17+K17)</f>
        <v>10089720</v>
      </c>
      <c r="N17" s="21"/>
    </row>
    <row r="18" spans="2:14" ht="15.75" x14ac:dyDescent="0.25">
      <c r="B18" s="141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72"/>
    </row>
    <row r="19" spans="2:14" x14ac:dyDescent="0.25">
      <c r="B19" s="7">
        <v>1</v>
      </c>
      <c r="C19" s="22" t="s">
        <v>21</v>
      </c>
      <c r="D19" s="9" t="s">
        <v>296</v>
      </c>
      <c r="E19" s="23" t="s">
        <v>297</v>
      </c>
      <c r="F19" s="24" t="s">
        <v>119</v>
      </c>
      <c r="G19" s="25">
        <v>46134</v>
      </c>
      <c r="H19" s="25">
        <v>46147</v>
      </c>
      <c r="I19" s="26">
        <v>986700</v>
      </c>
      <c r="J19" s="14">
        <f>I19</f>
        <v>986700</v>
      </c>
      <c r="K19" s="15"/>
      <c r="L19" s="16" t="s">
        <v>89</v>
      </c>
      <c r="M19" s="16"/>
      <c r="N19" s="17"/>
    </row>
    <row r="20" spans="2:14" x14ac:dyDescent="0.25">
      <c r="B20" s="7">
        <v>5</v>
      </c>
      <c r="C20" s="22"/>
      <c r="D20" s="9" t="s">
        <v>299</v>
      </c>
      <c r="E20" s="23" t="s">
        <v>300</v>
      </c>
      <c r="F20" s="24" t="s">
        <v>298</v>
      </c>
      <c r="G20" s="25">
        <v>46135</v>
      </c>
      <c r="H20" s="25">
        <v>46148</v>
      </c>
      <c r="I20" s="26">
        <v>1880100</v>
      </c>
      <c r="J20" s="14">
        <f t="shared" ref="J20" si="2">I20</f>
        <v>1880100</v>
      </c>
      <c r="K20" s="15"/>
      <c r="L20" s="16" t="s">
        <v>89</v>
      </c>
      <c r="M20" s="16"/>
      <c r="N20" s="17"/>
    </row>
    <row r="21" spans="2:14" x14ac:dyDescent="0.25">
      <c r="B21" s="7">
        <v>8</v>
      </c>
      <c r="C21" s="22"/>
      <c r="D21" s="9" t="s">
        <v>301</v>
      </c>
      <c r="E21" s="23" t="s">
        <v>297</v>
      </c>
      <c r="F21" s="24" t="s">
        <v>119</v>
      </c>
      <c r="G21" s="25">
        <v>46134</v>
      </c>
      <c r="H21" s="25">
        <v>46147</v>
      </c>
      <c r="I21" s="26">
        <v>118000</v>
      </c>
      <c r="J21" s="14"/>
      <c r="K21" s="15">
        <f t="shared" ref="K21:K23" si="3">I21</f>
        <v>118000</v>
      </c>
      <c r="L21" s="16" t="s">
        <v>89</v>
      </c>
      <c r="M21" s="16"/>
      <c r="N21" s="17"/>
    </row>
    <row r="22" spans="2:14" x14ac:dyDescent="0.25">
      <c r="B22" s="7">
        <v>10</v>
      </c>
      <c r="C22" s="22"/>
      <c r="D22" s="9" t="s">
        <v>302</v>
      </c>
      <c r="E22" s="23" t="s">
        <v>303</v>
      </c>
      <c r="F22" s="24" t="s">
        <v>304</v>
      </c>
      <c r="G22" s="25">
        <v>46135</v>
      </c>
      <c r="H22" s="25">
        <v>46148</v>
      </c>
      <c r="I22" s="26">
        <v>231000</v>
      </c>
      <c r="J22" s="14"/>
      <c r="K22" s="15">
        <f t="shared" si="3"/>
        <v>231000</v>
      </c>
      <c r="L22" s="16" t="s">
        <v>89</v>
      </c>
      <c r="M22" s="16"/>
      <c r="N22" s="17"/>
    </row>
    <row r="23" spans="2:14" x14ac:dyDescent="0.25">
      <c r="B23" s="7">
        <v>11</v>
      </c>
      <c r="C23" s="22"/>
      <c r="D23" s="9" t="s">
        <v>305</v>
      </c>
      <c r="E23" s="23" t="s">
        <v>306</v>
      </c>
      <c r="F23" s="24" t="s">
        <v>304</v>
      </c>
      <c r="G23" s="25">
        <v>46135</v>
      </c>
      <c r="H23" s="25">
        <v>46148</v>
      </c>
      <c r="I23" s="26">
        <v>105600</v>
      </c>
      <c r="J23" s="14"/>
      <c r="K23" s="15">
        <f t="shared" si="3"/>
        <v>105600</v>
      </c>
      <c r="L23" s="16" t="s">
        <v>89</v>
      </c>
      <c r="M23" s="16"/>
      <c r="N23" s="17"/>
    </row>
    <row r="24" spans="2:14" ht="15.75" x14ac:dyDescent="0.25">
      <c r="B24" s="143" t="s">
        <v>12</v>
      </c>
      <c r="C24" s="144"/>
      <c r="D24" s="144"/>
      <c r="E24" s="144"/>
      <c r="F24" s="144"/>
      <c r="G24" s="144"/>
      <c r="H24" s="144"/>
      <c r="I24" s="170"/>
      <c r="J24" s="18">
        <f>SUM(J19:J23)</f>
        <v>2866800</v>
      </c>
      <c r="K24" s="19">
        <f>SUM(K19:K23)</f>
        <v>454600</v>
      </c>
      <c r="L24" s="28"/>
      <c r="M24" s="29">
        <f>SUM(J24+K24)</f>
        <v>3321400</v>
      </c>
      <c r="N24" s="21"/>
    </row>
    <row r="25" spans="2:14" ht="15.75" x14ac:dyDescent="0.25"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71"/>
    </row>
    <row r="26" spans="2:14" ht="15.75" x14ac:dyDescent="0.25">
      <c r="B26" s="67">
        <v>1</v>
      </c>
      <c r="C26" s="31" t="s">
        <v>22</v>
      </c>
      <c r="D26" s="55" t="s">
        <v>307</v>
      </c>
      <c r="E26" s="55" t="s">
        <v>308</v>
      </c>
      <c r="F26" s="55" t="s">
        <v>309</v>
      </c>
      <c r="G26" s="80">
        <v>46135</v>
      </c>
      <c r="H26" s="80">
        <v>46148</v>
      </c>
      <c r="I26" s="69">
        <v>1215300</v>
      </c>
      <c r="J26" s="81">
        <f>I26</f>
        <v>1215300</v>
      </c>
      <c r="K26" s="79"/>
      <c r="L26" s="16" t="s">
        <v>89</v>
      </c>
      <c r="M26" s="67"/>
      <c r="N26" s="67"/>
    </row>
    <row r="27" spans="2:14" ht="15.75" x14ac:dyDescent="0.25">
      <c r="B27" s="67"/>
      <c r="C27" s="67"/>
      <c r="D27" s="55" t="s">
        <v>310</v>
      </c>
      <c r="E27" s="55" t="s">
        <v>311</v>
      </c>
      <c r="F27" s="55" t="s">
        <v>312</v>
      </c>
      <c r="G27" s="80">
        <v>46135</v>
      </c>
      <c r="H27" s="80">
        <v>46148</v>
      </c>
      <c r="I27" s="69">
        <v>228600</v>
      </c>
      <c r="J27" s="81">
        <f>I27</f>
        <v>228600</v>
      </c>
      <c r="K27" s="79"/>
      <c r="L27" s="16" t="s">
        <v>89</v>
      </c>
      <c r="M27" s="67"/>
      <c r="N27" s="67"/>
    </row>
    <row r="28" spans="2:14" x14ac:dyDescent="0.25">
      <c r="B28" s="30"/>
      <c r="C28" s="46"/>
      <c r="D28" s="32"/>
      <c r="E28" s="46"/>
      <c r="F28" s="46"/>
      <c r="G28" s="47"/>
      <c r="H28" s="47"/>
      <c r="I28" s="48"/>
      <c r="J28" s="49"/>
      <c r="K28" s="38"/>
      <c r="L28" s="16"/>
      <c r="M28" s="16"/>
      <c r="N28" s="17"/>
    </row>
    <row r="29" spans="2:14" ht="15.75" x14ac:dyDescent="0.25">
      <c r="B29" s="157" t="s">
        <v>12</v>
      </c>
      <c r="C29" s="158"/>
      <c r="D29" s="158"/>
      <c r="E29" s="158"/>
      <c r="F29" s="158"/>
      <c r="G29" s="158"/>
      <c r="H29" s="158"/>
      <c r="I29" s="159"/>
      <c r="J29" s="60">
        <f>SUM(J26:J28)</f>
        <v>1443900</v>
      </c>
      <c r="K29" s="61">
        <f>SUM(K26:K28)</f>
        <v>0</v>
      </c>
      <c r="L29" s="62"/>
      <c r="M29" s="63">
        <f>SUM(K29+J29)</f>
        <v>1443900</v>
      </c>
      <c r="N29" s="64"/>
    </row>
    <row r="30" spans="2:14" x14ac:dyDescent="0.25">
      <c r="D30" s="42"/>
      <c r="I30" s="43"/>
      <c r="N30" s="44"/>
    </row>
    <row r="31" spans="2:14" x14ac:dyDescent="0.25">
      <c r="D31" s="42"/>
      <c r="I31" s="43"/>
      <c r="N31" s="44"/>
    </row>
    <row r="32" spans="2:14" ht="15.75" x14ac:dyDescent="0.25">
      <c r="D32" s="42"/>
      <c r="G32" s="150" t="s">
        <v>23</v>
      </c>
      <c r="H32" s="150"/>
      <c r="I32" s="150"/>
      <c r="J32" s="18">
        <f>SUM(J29+J24+J17)</f>
        <v>9924000</v>
      </c>
      <c r="K32" s="40">
        <f>SUM(K29+K24+K17)</f>
        <v>4931020</v>
      </c>
      <c r="L32" s="28"/>
      <c r="M32" s="28"/>
      <c r="N32" s="21">
        <f>SUM(J32+K32)</f>
        <v>14855020</v>
      </c>
    </row>
    <row r="33" spans="2:14" x14ac:dyDescent="0.25">
      <c r="D33" s="42"/>
      <c r="I33" s="43"/>
      <c r="N33" s="44"/>
    </row>
    <row r="34" spans="2:14" x14ac:dyDescent="0.25">
      <c r="B34" s="160" t="s">
        <v>24</v>
      </c>
      <c r="C34" s="160"/>
      <c r="D34" s="160"/>
      <c r="I34" s="43"/>
      <c r="N34" s="44"/>
    </row>
    <row r="35" spans="2:14" ht="15.75" x14ac:dyDescent="0.25">
      <c r="B35" s="154" t="s">
        <v>3</v>
      </c>
      <c r="C35" s="161" t="s">
        <v>25</v>
      </c>
      <c r="D35" s="154" t="s">
        <v>5</v>
      </c>
      <c r="E35" s="154" t="s">
        <v>6</v>
      </c>
      <c r="F35" s="154" t="s">
        <v>7</v>
      </c>
      <c r="G35" s="154" t="s">
        <v>8</v>
      </c>
      <c r="H35" s="154" t="s">
        <v>9</v>
      </c>
      <c r="I35" s="161" t="s">
        <v>26</v>
      </c>
      <c r="J35" s="143" t="s">
        <v>11</v>
      </c>
      <c r="K35" s="144"/>
      <c r="L35" s="170"/>
      <c r="M35" s="133" t="s">
        <v>12</v>
      </c>
      <c r="N35" s="154" t="s">
        <v>13</v>
      </c>
    </row>
    <row r="36" spans="2:14" ht="15.75" x14ac:dyDescent="0.25">
      <c r="B36" s="155"/>
      <c r="C36" s="162"/>
      <c r="D36" s="155"/>
      <c r="E36" s="155"/>
      <c r="F36" s="155"/>
      <c r="G36" s="155"/>
      <c r="H36" s="155"/>
      <c r="I36" s="162"/>
      <c r="J36" s="4" t="s">
        <v>14</v>
      </c>
      <c r="K36" s="5" t="s">
        <v>15</v>
      </c>
      <c r="L36" s="6" t="s">
        <v>16</v>
      </c>
      <c r="M36" s="134"/>
      <c r="N36" s="155"/>
    </row>
    <row r="37" spans="2:14" ht="15" customHeight="1" x14ac:dyDescent="0.25">
      <c r="B37" s="27">
        <v>1</v>
      </c>
      <c r="C37" s="31" t="s">
        <v>146</v>
      </c>
      <c r="D37" s="45" t="s">
        <v>313</v>
      </c>
      <c r="E37" s="46" t="s">
        <v>314</v>
      </c>
      <c r="F37" s="46" t="s">
        <v>315</v>
      </c>
      <c r="G37" s="47">
        <v>46148</v>
      </c>
      <c r="H37" s="47"/>
      <c r="I37" s="48">
        <v>391500</v>
      </c>
      <c r="J37" s="49"/>
      <c r="K37" s="38">
        <f>I37</f>
        <v>391500</v>
      </c>
      <c r="L37" s="16" t="s">
        <v>89</v>
      </c>
      <c r="M37" s="17"/>
      <c r="N37" s="17"/>
    </row>
    <row r="38" spans="2:14" ht="15" customHeight="1" x14ac:dyDescent="0.25">
      <c r="B38" s="27">
        <v>2</v>
      </c>
      <c r="C38" s="31"/>
      <c r="D38" s="45"/>
      <c r="E38" s="46"/>
      <c r="F38" s="46"/>
      <c r="G38" s="47"/>
      <c r="H38" s="47"/>
      <c r="I38" s="48"/>
      <c r="J38" s="49"/>
      <c r="K38" s="38"/>
      <c r="L38" s="16"/>
      <c r="M38" s="17"/>
      <c r="N38" s="17"/>
    </row>
    <row r="39" spans="2:14" ht="15.75" x14ac:dyDescent="0.25">
      <c r="B39" s="122" t="s">
        <v>27</v>
      </c>
      <c r="C39" s="123"/>
      <c r="D39" s="123"/>
      <c r="E39" s="123"/>
      <c r="F39" s="123"/>
      <c r="G39" s="123"/>
      <c r="H39" s="123"/>
      <c r="I39" s="124"/>
      <c r="J39" s="39">
        <f>SUM(J37:J38)</f>
        <v>0</v>
      </c>
      <c r="K39" s="40">
        <f>SUM(K37:K38)</f>
        <v>391500</v>
      </c>
      <c r="L39" s="28"/>
      <c r="M39" s="41">
        <f>SUM(J39+K39)</f>
        <v>391500</v>
      </c>
      <c r="N39" s="53"/>
    </row>
    <row r="40" spans="2:14" ht="15.75" x14ac:dyDescent="0.25">
      <c r="B40" s="139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63"/>
    </row>
    <row r="41" spans="2:14" x14ac:dyDescent="0.25">
      <c r="B41" s="55">
        <v>1</v>
      </c>
      <c r="C41" s="8" t="s">
        <v>87</v>
      </c>
      <c r="D41" s="51" t="s">
        <v>316</v>
      </c>
      <c r="E41" s="51" t="s">
        <v>317</v>
      </c>
      <c r="F41" s="17" t="s">
        <v>72</v>
      </c>
      <c r="G41" s="47">
        <v>46148</v>
      </c>
      <c r="H41" s="52"/>
      <c r="I41" s="16">
        <v>858400</v>
      </c>
      <c r="J41" s="49">
        <f>I41</f>
        <v>858400</v>
      </c>
      <c r="K41" s="50"/>
      <c r="L41" s="16" t="s">
        <v>89</v>
      </c>
      <c r="M41" s="17"/>
      <c r="N41" s="17"/>
    </row>
    <row r="42" spans="2:14" x14ac:dyDescent="0.25">
      <c r="B42" s="55">
        <v>2</v>
      </c>
      <c r="C42" s="8" t="s">
        <v>87</v>
      </c>
      <c r="D42" s="51" t="s">
        <v>318</v>
      </c>
      <c r="E42" s="51" t="s">
        <v>319</v>
      </c>
      <c r="F42" s="17" t="s">
        <v>72</v>
      </c>
      <c r="G42" s="47">
        <v>46148</v>
      </c>
      <c r="H42" s="52"/>
      <c r="I42" s="16">
        <v>1103000</v>
      </c>
      <c r="J42" s="49">
        <f t="shared" ref="J42:J51" si="4">I42</f>
        <v>1103000</v>
      </c>
      <c r="K42" s="50"/>
      <c r="L42" s="16" t="s">
        <v>89</v>
      </c>
      <c r="M42" s="17"/>
      <c r="N42" s="17"/>
    </row>
    <row r="43" spans="2:14" x14ac:dyDescent="0.25">
      <c r="B43" s="55">
        <v>3</v>
      </c>
      <c r="C43" s="8" t="s">
        <v>87</v>
      </c>
      <c r="D43" s="51" t="s">
        <v>320</v>
      </c>
      <c r="E43" s="51" t="s">
        <v>321</v>
      </c>
      <c r="F43" s="17" t="s">
        <v>322</v>
      </c>
      <c r="G43" s="47">
        <v>46148</v>
      </c>
      <c r="H43" s="52"/>
      <c r="I43" s="16">
        <v>968700</v>
      </c>
      <c r="J43" s="49">
        <f t="shared" si="4"/>
        <v>968700</v>
      </c>
      <c r="K43" s="50"/>
      <c r="L43" s="16" t="s">
        <v>89</v>
      </c>
      <c r="M43" s="17"/>
      <c r="N43" s="17"/>
    </row>
    <row r="44" spans="2:14" x14ac:dyDescent="0.25">
      <c r="B44" s="55">
        <v>4</v>
      </c>
      <c r="C44" s="8" t="s">
        <v>87</v>
      </c>
      <c r="D44" s="51" t="s">
        <v>323</v>
      </c>
      <c r="E44" s="51" t="s">
        <v>324</v>
      </c>
      <c r="F44" s="17" t="s">
        <v>325</v>
      </c>
      <c r="G44" s="47">
        <v>46148</v>
      </c>
      <c r="H44" s="52"/>
      <c r="I44" s="16">
        <v>215100</v>
      </c>
      <c r="J44" s="49">
        <f t="shared" si="4"/>
        <v>215100</v>
      </c>
      <c r="K44" s="50"/>
      <c r="L44" s="16" t="s">
        <v>89</v>
      </c>
      <c r="M44" s="17"/>
      <c r="N44" s="17"/>
    </row>
    <row r="45" spans="2:14" x14ac:dyDescent="0.25">
      <c r="B45" s="55">
        <v>5</v>
      </c>
      <c r="C45" s="8" t="s">
        <v>87</v>
      </c>
      <c r="D45" s="51" t="s">
        <v>326</v>
      </c>
      <c r="E45" s="51" t="s">
        <v>253</v>
      </c>
      <c r="F45" s="17" t="s">
        <v>254</v>
      </c>
      <c r="G45" s="47">
        <v>46148</v>
      </c>
      <c r="H45" s="52"/>
      <c r="I45" s="16">
        <v>2677500</v>
      </c>
      <c r="J45" s="49">
        <f t="shared" si="4"/>
        <v>2677500</v>
      </c>
      <c r="K45" s="50"/>
      <c r="L45" s="16" t="s">
        <v>89</v>
      </c>
      <c r="M45" s="17"/>
      <c r="N45" s="17"/>
    </row>
    <row r="46" spans="2:14" x14ac:dyDescent="0.25">
      <c r="B46" s="55">
        <v>6</v>
      </c>
      <c r="C46" s="8" t="s">
        <v>87</v>
      </c>
      <c r="D46" s="51" t="s">
        <v>327</v>
      </c>
      <c r="E46" s="51" t="s">
        <v>328</v>
      </c>
      <c r="F46" s="17" t="s">
        <v>322</v>
      </c>
      <c r="G46" s="47">
        <v>46148</v>
      </c>
      <c r="H46" s="52"/>
      <c r="I46" s="16">
        <v>661800</v>
      </c>
      <c r="J46" s="49">
        <f t="shared" si="4"/>
        <v>661800</v>
      </c>
      <c r="K46" s="50"/>
      <c r="L46" s="16" t="s">
        <v>89</v>
      </c>
      <c r="M46" s="17"/>
      <c r="N46" s="17"/>
    </row>
    <row r="47" spans="2:14" x14ac:dyDescent="0.25">
      <c r="B47" s="55">
        <v>7</v>
      </c>
      <c r="C47" s="8" t="s">
        <v>234</v>
      </c>
      <c r="D47" s="51" t="s">
        <v>329</v>
      </c>
      <c r="E47" s="51" t="s">
        <v>330</v>
      </c>
      <c r="F47" s="17" t="s">
        <v>251</v>
      </c>
      <c r="G47" s="47">
        <v>46148</v>
      </c>
      <c r="H47" s="52"/>
      <c r="I47" s="16">
        <v>327900</v>
      </c>
      <c r="J47" s="49">
        <f t="shared" si="4"/>
        <v>327900</v>
      </c>
      <c r="K47" s="50"/>
      <c r="L47" s="16" t="s">
        <v>89</v>
      </c>
      <c r="M47" s="17"/>
      <c r="N47" s="17"/>
    </row>
    <row r="48" spans="2:14" x14ac:dyDescent="0.25">
      <c r="B48" s="55">
        <v>8</v>
      </c>
      <c r="C48" s="8" t="s">
        <v>234</v>
      </c>
      <c r="D48" s="51" t="s">
        <v>331</v>
      </c>
      <c r="E48" s="51" t="s">
        <v>332</v>
      </c>
      <c r="F48" s="17" t="s">
        <v>251</v>
      </c>
      <c r="G48" s="47">
        <v>46148</v>
      </c>
      <c r="H48" s="52"/>
      <c r="I48" s="16">
        <v>3229000</v>
      </c>
      <c r="J48" s="49">
        <f t="shared" si="4"/>
        <v>3229000</v>
      </c>
      <c r="K48" s="50"/>
      <c r="L48" s="16" t="s">
        <v>89</v>
      </c>
      <c r="M48" s="17"/>
      <c r="N48" s="17"/>
    </row>
    <row r="49" spans="2:14" x14ac:dyDescent="0.25">
      <c r="B49" s="55">
        <v>9</v>
      </c>
      <c r="C49" s="8" t="s">
        <v>234</v>
      </c>
      <c r="D49" s="51" t="s">
        <v>333</v>
      </c>
      <c r="E49" s="51" t="s">
        <v>334</v>
      </c>
      <c r="F49" s="17" t="s">
        <v>335</v>
      </c>
      <c r="G49" s="47">
        <v>46148</v>
      </c>
      <c r="H49" s="52"/>
      <c r="I49" s="16">
        <v>327900</v>
      </c>
      <c r="J49" s="49">
        <f t="shared" si="4"/>
        <v>327900</v>
      </c>
      <c r="K49" s="50"/>
      <c r="L49" s="16" t="s">
        <v>89</v>
      </c>
      <c r="M49" s="17"/>
      <c r="N49" s="17"/>
    </row>
    <row r="50" spans="2:14" x14ac:dyDescent="0.25">
      <c r="B50" s="55">
        <v>10</v>
      </c>
      <c r="C50" s="8" t="s">
        <v>234</v>
      </c>
      <c r="D50" s="51" t="s">
        <v>336</v>
      </c>
      <c r="E50" s="51" t="s">
        <v>337</v>
      </c>
      <c r="F50" s="17" t="s">
        <v>119</v>
      </c>
      <c r="G50" s="47">
        <v>46148</v>
      </c>
      <c r="H50" s="52"/>
      <c r="I50" s="16">
        <v>772100</v>
      </c>
      <c r="J50" s="49">
        <f t="shared" si="4"/>
        <v>772100</v>
      </c>
      <c r="K50" s="50"/>
      <c r="L50" s="16" t="s">
        <v>89</v>
      </c>
      <c r="M50" s="17"/>
      <c r="N50" s="17"/>
    </row>
    <row r="51" spans="2:14" x14ac:dyDescent="0.25">
      <c r="B51" s="55">
        <v>11</v>
      </c>
      <c r="C51" s="8" t="s">
        <v>234</v>
      </c>
      <c r="D51" s="51" t="s">
        <v>338</v>
      </c>
      <c r="E51" s="51" t="s">
        <v>339</v>
      </c>
      <c r="F51" s="17" t="s">
        <v>119</v>
      </c>
      <c r="G51" s="47">
        <v>46148</v>
      </c>
      <c r="H51" s="52"/>
      <c r="I51" s="16">
        <v>215100</v>
      </c>
      <c r="J51" s="49">
        <f t="shared" si="4"/>
        <v>215100</v>
      </c>
      <c r="K51" s="15"/>
      <c r="L51" s="16" t="s">
        <v>89</v>
      </c>
      <c r="M51" s="17"/>
      <c r="N51" s="17"/>
    </row>
    <row r="52" spans="2:14" x14ac:dyDescent="0.25">
      <c r="B52" s="55">
        <v>12</v>
      </c>
      <c r="C52" s="8"/>
      <c r="D52" s="51"/>
      <c r="E52" s="51"/>
      <c r="F52" s="17"/>
      <c r="G52" s="47"/>
      <c r="H52" s="52"/>
      <c r="I52" s="16"/>
      <c r="J52" s="49"/>
      <c r="K52" s="15"/>
      <c r="L52" s="16"/>
      <c r="M52" s="17"/>
      <c r="N52" s="17"/>
    </row>
    <row r="53" spans="2:14" x14ac:dyDescent="0.25">
      <c r="B53" s="55">
        <v>13</v>
      </c>
      <c r="C53" s="8"/>
      <c r="D53" s="51"/>
      <c r="E53" s="51"/>
      <c r="F53" s="17"/>
      <c r="G53" s="47"/>
      <c r="H53" s="52"/>
      <c r="I53" s="16"/>
      <c r="J53" s="49"/>
      <c r="K53" s="15"/>
      <c r="L53" s="16"/>
      <c r="M53" s="17"/>
      <c r="N53" s="17"/>
    </row>
    <row r="54" spans="2:14" ht="15.75" x14ac:dyDescent="0.25">
      <c r="B54" s="122" t="s">
        <v>27</v>
      </c>
      <c r="C54" s="123"/>
      <c r="D54" s="123"/>
      <c r="E54" s="123"/>
      <c r="F54" s="123"/>
      <c r="G54" s="123"/>
      <c r="H54" s="123"/>
      <c r="I54" s="124"/>
      <c r="J54" s="39">
        <f>SUM(J41:J53)</f>
        <v>11356500</v>
      </c>
      <c r="K54" s="40">
        <f>SUM(K41:K53)</f>
        <v>0</v>
      </c>
      <c r="L54" s="28"/>
      <c r="M54" s="41">
        <f>SUM(J54+K54)</f>
        <v>11356500</v>
      </c>
      <c r="N54" s="53"/>
    </row>
    <row r="55" spans="2:14" x14ac:dyDescent="0.25">
      <c r="D55" s="42"/>
      <c r="I55" s="43"/>
    </row>
    <row r="56" spans="2:14" ht="15.75" x14ac:dyDescent="0.25">
      <c r="D56" s="42"/>
      <c r="H56" s="122" t="s">
        <v>28</v>
      </c>
      <c r="I56" s="124"/>
      <c r="J56" s="39">
        <f>SUM(J54+J39)</f>
        <v>11356500</v>
      </c>
      <c r="K56" s="40">
        <f>SUM(K54+K39)</f>
        <v>391500</v>
      </c>
      <c r="L56" s="28"/>
      <c r="M56" s="54"/>
      <c r="N56" s="21">
        <f>SUM(M54+M39)</f>
        <v>11748000</v>
      </c>
    </row>
    <row r="57" spans="2:14" x14ac:dyDescent="0.25">
      <c r="D57" s="42"/>
      <c r="I57" s="43"/>
    </row>
    <row r="58" spans="2:14" x14ac:dyDescent="0.25">
      <c r="D58" s="42"/>
      <c r="H58" s="125" t="s">
        <v>29</v>
      </c>
      <c r="I58" s="126"/>
      <c r="J58" s="56" t="s">
        <v>14</v>
      </c>
      <c r="K58" s="57" t="s">
        <v>15</v>
      </c>
      <c r="L58" s="17"/>
      <c r="M58" s="17"/>
      <c r="N58" s="17"/>
    </row>
    <row r="59" spans="2:14" ht="15.75" x14ac:dyDescent="0.25">
      <c r="D59" s="42"/>
      <c r="H59" s="129"/>
      <c r="I59" s="130"/>
      <c r="J59" s="39">
        <f>SUM(J56+J32)</f>
        <v>21280500</v>
      </c>
      <c r="K59" s="40">
        <f>SUM(K56+K32)</f>
        <v>5322520</v>
      </c>
      <c r="L59" s="28"/>
      <c r="M59" s="28"/>
      <c r="N59" s="58">
        <f>SUM(K59+J59)</f>
        <v>26603020</v>
      </c>
    </row>
    <row r="60" spans="2:14" x14ac:dyDescent="0.25">
      <c r="D60" s="42"/>
      <c r="I60" s="43"/>
      <c r="N60" s="59"/>
    </row>
    <row r="61" spans="2:14" x14ac:dyDescent="0.25">
      <c r="D61" s="2" t="s">
        <v>30</v>
      </c>
      <c r="E61" s="1"/>
      <c r="F61" s="1"/>
      <c r="G61" s="1"/>
      <c r="H61" s="1"/>
      <c r="I61" s="1"/>
      <c r="J61" s="1"/>
    </row>
    <row r="62" spans="2:14" x14ac:dyDescent="0.25">
      <c r="D62" s="2"/>
      <c r="E62" s="1"/>
      <c r="F62" s="1"/>
      <c r="G62" s="1"/>
      <c r="H62" s="1"/>
      <c r="I62" s="1"/>
      <c r="J62" s="1"/>
    </row>
    <row r="63" spans="2:14" x14ac:dyDescent="0.25">
      <c r="D63" s="3" t="s">
        <v>31</v>
      </c>
      <c r="E63" s="3"/>
      <c r="F63" s="3" t="s">
        <v>32</v>
      </c>
      <c r="G63" s="3"/>
      <c r="H63" s="3" t="s">
        <v>33</v>
      </c>
      <c r="I63" s="3"/>
      <c r="J63" s="3" t="s">
        <v>34</v>
      </c>
    </row>
    <row r="64" spans="2:14" x14ac:dyDescent="0.25">
      <c r="D64" s="3"/>
      <c r="E64" s="3"/>
      <c r="F64" s="3"/>
      <c r="G64" s="3"/>
      <c r="H64" s="3"/>
      <c r="I64" s="3"/>
      <c r="J64" s="3"/>
    </row>
    <row r="65" spans="4:10" x14ac:dyDescent="0.25">
      <c r="D65" s="3"/>
      <c r="E65" s="3"/>
      <c r="F65" s="3"/>
      <c r="G65" s="3"/>
      <c r="H65" s="3"/>
      <c r="I65" s="3"/>
      <c r="J65" s="3"/>
    </row>
    <row r="66" spans="4:10" x14ac:dyDescent="0.25">
      <c r="D66" s="3"/>
      <c r="E66" s="3"/>
      <c r="F66" s="3"/>
      <c r="G66" s="3"/>
      <c r="H66" s="3"/>
      <c r="I66" s="3"/>
      <c r="J66" s="3"/>
    </row>
    <row r="67" spans="4:10" x14ac:dyDescent="0.25">
      <c r="D67" s="3" t="s">
        <v>35</v>
      </c>
      <c r="E67" s="3"/>
      <c r="F67" s="3" t="s">
        <v>36</v>
      </c>
      <c r="G67" s="3"/>
      <c r="H67" s="3" t="s">
        <v>36</v>
      </c>
      <c r="I67" s="3"/>
      <c r="J67" s="3" t="s">
        <v>37</v>
      </c>
    </row>
    <row r="68" spans="4:10" x14ac:dyDescent="0.25">
      <c r="D68" s="42"/>
    </row>
    <row r="69" spans="4:10" x14ac:dyDescent="0.25">
      <c r="D69" s="42"/>
    </row>
    <row r="70" spans="4:10" x14ac:dyDescent="0.25">
      <c r="D70" s="42"/>
    </row>
    <row r="71" spans="4:10" x14ac:dyDescent="0.25">
      <c r="D71" s="42"/>
    </row>
    <row r="72" spans="4:10" x14ac:dyDescent="0.25">
      <c r="D72" s="42"/>
    </row>
  </sheetData>
  <mergeCells count="37">
    <mergeCell ref="B39:I39"/>
    <mergeCell ref="B40:N40"/>
    <mergeCell ref="B54:I54"/>
    <mergeCell ref="H56:I56"/>
    <mergeCell ref="H58:I59"/>
    <mergeCell ref="N35:N36"/>
    <mergeCell ref="B24:I24"/>
    <mergeCell ref="B25:N25"/>
    <mergeCell ref="B29:I29"/>
    <mergeCell ref="G32:I32"/>
    <mergeCell ref="B34:D34"/>
    <mergeCell ref="B35:B36"/>
    <mergeCell ref="C35:C36"/>
    <mergeCell ref="D35:D36"/>
    <mergeCell ref="E35:E36"/>
    <mergeCell ref="F35:F36"/>
    <mergeCell ref="G35:G36"/>
    <mergeCell ref="H35:H36"/>
    <mergeCell ref="I35:I36"/>
    <mergeCell ref="J35:L35"/>
    <mergeCell ref="M35:M36"/>
    <mergeCell ref="B18:N18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7:I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61854-6285-4044-BA56-EC7C8CC8C365}">
  <dimension ref="B2:P86"/>
  <sheetViews>
    <sheetView workbookViewId="0">
      <selection sqref="A1:XFD1048576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340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341</v>
      </c>
      <c r="E8" s="10" t="s">
        <v>342</v>
      </c>
      <c r="F8" s="11" t="s">
        <v>343</v>
      </c>
      <c r="G8" s="12">
        <v>46135</v>
      </c>
      <c r="H8" s="12">
        <v>46148</v>
      </c>
      <c r="I8" s="13">
        <v>2151000</v>
      </c>
      <c r="J8" s="14">
        <f>I8</f>
        <v>2151000</v>
      </c>
      <c r="K8" s="15"/>
      <c r="L8" s="16" t="s">
        <v>89</v>
      </c>
      <c r="M8" s="16"/>
      <c r="N8" s="17"/>
    </row>
    <row r="9" spans="2:16" x14ac:dyDescent="0.25">
      <c r="B9" s="7">
        <v>2</v>
      </c>
      <c r="C9" s="8"/>
      <c r="D9" s="9" t="s">
        <v>290</v>
      </c>
      <c r="E9" s="10" t="s">
        <v>291</v>
      </c>
      <c r="F9" s="11" t="s">
        <v>292</v>
      </c>
      <c r="G9" s="12">
        <v>46135</v>
      </c>
      <c r="H9" s="12">
        <v>46148</v>
      </c>
      <c r="I9" s="13">
        <v>700000</v>
      </c>
      <c r="J9" s="14">
        <f t="shared" ref="J9:J12" si="0">I9</f>
        <v>700000</v>
      </c>
      <c r="K9" s="15"/>
      <c r="L9" s="16" t="s">
        <v>89</v>
      </c>
      <c r="M9" s="16"/>
      <c r="N9" s="17"/>
    </row>
    <row r="10" spans="2:16" x14ac:dyDescent="0.25">
      <c r="B10" s="7">
        <v>3</v>
      </c>
      <c r="C10" s="8"/>
      <c r="D10" s="9" t="s">
        <v>344</v>
      </c>
      <c r="E10" s="10" t="s">
        <v>345</v>
      </c>
      <c r="F10" s="11" t="s">
        <v>346</v>
      </c>
      <c r="G10" s="12">
        <v>46136</v>
      </c>
      <c r="H10" s="12">
        <v>46149</v>
      </c>
      <c r="I10" s="13">
        <v>1722000</v>
      </c>
      <c r="J10" s="14">
        <f t="shared" si="0"/>
        <v>1722000</v>
      </c>
      <c r="K10" s="15"/>
      <c r="L10" s="16" t="s">
        <v>89</v>
      </c>
      <c r="M10" s="16"/>
      <c r="N10" s="17"/>
    </row>
    <row r="11" spans="2:16" x14ac:dyDescent="0.25">
      <c r="B11" s="7">
        <v>4</v>
      </c>
      <c r="C11" s="8"/>
      <c r="D11" s="9" t="s">
        <v>347</v>
      </c>
      <c r="E11" s="10" t="s">
        <v>103</v>
      </c>
      <c r="F11" s="11" t="s">
        <v>348</v>
      </c>
      <c r="G11" s="12">
        <v>46136</v>
      </c>
      <c r="H11" s="12">
        <v>46149</v>
      </c>
      <c r="I11" s="13">
        <v>1452900</v>
      </c>
      <c r="J11" s="14">
        <f t="shared" si="0"/>
        <v>1452900</v>
      </c>
      <c r="K11" s="15"/>
      <c r="L11" s="16" t="s">
        <v>89</v>
      </c>
      <c r="M11" s="16"/>
      <c r="N11" s="17"/>
    </row>
    <row r="12" spans="2:16" x14ac:dyDescent="0.25">
      <c r="B12" s="7">
        <v>5</v>
      </c>
      <c r="C12" s="8"/>
      <c r="D12" s="9" t="s">
        <v>350</v>
      </c>
      <c r="E12" s="10" t="s">
        <v>351</v>
      </c>
      <c r="F12" s="11" t="s">
        <v>352</v>
      </c>
      <c r="G12" s="12">
        <v>46136</v>
      </c>
      <c r="H12" s="12">
        <v>46149</v>
      </c>
      <c r="I12" s="13">
        <v>672300</v>
      </c>
      <c r="J12" s="14">
        <f t="shared" si="0"/>
        <v>672300</v>
      </c>
      <c r="K12" s="15"/>
      <c r="L12" s="16" t="s">
        <v>89</v>
      </c>
      <c r="M12" s="16"/>
      <c r="N12" s="17"/>
    </row>
    <row r="13" spans="2:16" x14ac:dyDescent="0.25">
      <c r="B13" s="7">
        <v>6</v>
      </c>
      <c r="C13" s="8"/>
      <c r="D13" s="9" t="s">
        <v>353</v>
      </c>
      <c r="E13" s="10" t="s">
        <v>354</v>
      </c>
      <c r="F13" s="11" t="s">
        <v>355</v>
      </c>
      <c r="G13" s="12">
        <v>46136</v>
      </c>
      <c r="H13" s="12">
        <v>46149</v>
      </c>
      <c r="I13" s="13">
        <v>87000</v>
      </c>
      <c r="J13" s="14"/>
      <c r="K13" s="15">
        <f t="shared" ref="K13:K16" si="1">I13</f>
        <v>87000</v>
      </c>
      <c r="L13" s="16" t="s">
        <v>89</v>
      </c>
      <c r="M13" s="16"/>
      <c r="N13" s="17"/>
    </row>
    <row r="14" spans="2:16" x14ac:dyDescent="0.25">
      <c r="B14" s="7">
        <v>7</v>
      </c>
      <c r="C14" s="8"/>
      <c r="D14" s="9" t="s">
        <v>356</v>
      </c>
      <c r="E14" s="10" t="s">
        <v>357</v>
      </c>
      <c r="F14" s="11" t="s">
        <v>257</v>
      </c>
      <c r="G14" s="12">
        <v>46136</v>
      </c>
      <c r="H14" s="12">
        <v>46149</v>
      </c>
      <c r="I14" s="13">
        <v>1386390</v>
      </c>
      <c r="J14" s="14"/>
      <c r="K14" s="15">
        <f t="shared" si="1"/>
        <v>1386390</v>
      </c>
      <c r="L14" s="16" t="s">
        <v>89</v>
      </c>
      <c r="M14" s="16"/>
      <c r="N14" s="17"/>
    </row>
    <row r="15" spans="2:16" x14ac:dyDescent="0.25">
      <c r="B15" s="7">
        <v>8</v>
      </c>
      <c r="C15" s="8"/>
      <c r="D15" s="9" t="s">
        <v>349</v>
      </c>
      <c r="E15" s="10" t="s">
        <v>358</v>
      </c>
      <c r="F15" s="11" t="s">
        <v>359</v>
      </c>
      <c r="G15" s="12">
        <v>46136</v>
      </c>
      <c r="H15" s="12">
        <v>46149</v>
      </c>
      <c r="I15" s="13">
        <v>1411200</v>
      </c>
      <c r="J15" s="14"/>
      <c r="K15" s="15">
        <f t="shared" si="1"/>
        <v>1411200</v>
      </c>
      <c r="L15" s="16" t="s">
        <v>89</v>
      </c>
      <c r="M15" s="16"/>
      <c r="N15" s="17"/>
    </row>
    <row r="16" spans="2:16" x14ac:dyDescent="0.25">
      <c r="B16" s="7">
        <v>9</v>
      </c>
      <c r="C16" s="8"/>
      <c r="D16" s="9" t="s">
        <v>360</v>
      </c>
      <c r="E16" s="10" t="s">
        <v>345</v>
      </c>
      <c r="F16" s="11" t="s">
        <v>346</v>
      </c>
      <c r="G16" s="12">
        <v>46136</v>
      </c>
      <c r="H16" s="12">
        <v>46149</v>
      </c>
      <c r="I16" s="13">
        <v>2695212</v>
      </c>
      <c r="J16" s="14"/>
      <c r="K16" s="15">
        <f t="shared" si="1"/>
        <v>2695212</v>
      </c>
      <c r="L16" s="16" t="s">
        <v>89</v>
      </c>
      <c r="M16" s="16"/>
      <c r="N16" s="17"/>
    </row>
    <row r="17" spans="2:14" ht="15.75" x14ac:dyDescent="0.25">
      <c r="B17" s="122" t="s">
        <v>12</v>
      </c>
      <c r="C17" s="123"/>
      <c r="D17" s="123"/>
      <c r="E17" s="123"/>
      <c r="F17" s="123"/>
      <c r="G17" s="123"/>
      <c r="H17" s="123"/>
      <c r="I17" s="124"/>
      <c r="J17" s="18">
        <f>SUM(J8:J16)</f>
        <v>6698200</v>
      </c>
      <c r="K17" s="19">
        <f>SUM(K8:K16)</f>
        <v>5579802</v>
      </c>
      <c r="L17" s="20"/>
      <c r="M17" s="21">
        <f>SUM(J17+K17)</f>
        <v>12278002</v>
      </c>
      <c r="N17" s="21"/>
    </row>
    <row r="18" spans="2:14" ht="15.75" x14ac:dyDescent="0.25">
      <c r="B18" s="141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72"/>
    </row>
    <row r="19" spans="2:14" x14ac:dyDescent="0.25">
      <c r="B19" s="7">
        <v>1</v>
      </c>
      <c r="C19" s="22" t="s">
        <v>21</v>
      </c>
      <c r="D19" s="9" t="s">
        <v>361</v>
      </c>
      <c r="E19" s="23" t="s">
        <v>362</v>
      </c>
      <c r="F19" s="24" t="s">
        <v>363</v>
      </c>
      <c r="G19" s="25">
        <v>46135</v>
      </c>
      <c r="H19" s="25">
        <v>46148</v>
      </c>
      <c r="I19" s="26">
        <v>463200</v>
      </c>
      <c r="J19" s="14">
        <f>I19</f>
        <v>463200</v>
      </c>
      <c r="K19" s="15"/>
      <c r="L19" s="16" t="s">
        <v>89</v>
      </c>
      <c r="M19" s="16"/>
      <c r="N19" s="17"/>
    </row>
    <row r="20" spans="2:14" x14ac:dyDescent="0.25">
      <c r="B20" s="7">
        <v>2</v>
      </c>
      <c r="C20" s="22"/>
      <c r="D20" s="9" t="s">
        <v>364</v>
      </c>
      <c r="E20" s="23" t="s">
        <v>365</v>
      </c>
      <c r="F20" s="24" t="s">
        <v>366</v>
      </c>
      <c r="G20" s="25">
        <v>46135</v>
      </c>
      <c r="H20" s="25">
        <v>46148</v>
      </c>
      <c r="I20" s="26">
        <v>225600</v>
      </c>
      <c r="J20" s="14">
        <f t="shared" ref="J20:J22" si="2">I20</f>
        <v>225600</v>
      </c>
      <c r="K20" s="15"/>
      <c r="L20" s="16" t="s">
        <v>89</v>
      </c>
      <c r="M20" s="16"/>
      <c r="N20" s="17"/>
    </row>
    <row r="21" spans="2:14" x14ac:dyDescent="0.25">
      <c r="B21" s="7">
        <v>3</v>
      </c>
      <c r="C21" s="22"/>
      <c r="D21" s="9" t="s">
        <v>367</v>
      </c>
      <c r="E21" s="23" t="s">
        <v>368</v>
      </c>
      <c r="F21" s="24" t="s">
        <v>298</v>
      </c>
      <c r="G21" s="25">
        <v>46135</v>
      </c>
      <c r="H21" s="25">
        <v>46148</v>
      </c>
      <c r="I21" s="26">
        <v>330900</v>
      </c>
      <c r="J21" s="14">
        <f t="shared" si="2"/>
        <v>330900</v>
      </c>
      <c r="K21" s="15"/>
      <c r="L21" s="16" t="s">
        <v>89</v>
      </c>
      <c r="M21" s="16"/>
      <c r="N21" s="17"/>
    </row>
    <row r="22" spans="2:14" x14ac:dyDescent="0.25">
      <c r="B22" s="7">
        <v>4</v>
      </c>
      <c r="C22" s="22"/>
      <c r="D22" s="9" t="s">
        <v>369</v>
      </c>
      <c r="E22" s="23" t="s">
        <v>370</v>
      </c>
      <c r="F22" s="24" t="s">
        <v>174</v>
      </c>
      <c r="G22" s="25">
        <v>46135</v>
      </c>
      <c r="H22" s="25">
        <v>46148</v>
      </c>
      <c r="I22" s="26">
        <v>430200</v>
      </c>
      <c r="J22" s="14">
        <f t="shared" si="2"/>
        <v>430200</v>
      </c>
      <c r="K22" s="15"/>
      <c r="L22" s="16" t="s">
        <v>89</v>
      </c>
      <c r="M22" s="16"/>
      <c r="N22" s="17"/>
    </row>
    <row r="23" spans="2:14" x14ac:dyDescent="0.25">
      <c r="B23" s="7">
        <v>5</v>
      </c>
      <c r="C23" s="22"/>
      <c r="D23" s="9" t="s">
        <v>371</v>
      </c>
      <c r="E23" s="23" t="s">
        <v>372</v>
      </c>
      <c r="F23" s="24" t="s">
        <v>373</v>
      </c>
      <c r="G23" s="25">
        <v>46136</v>
      </c>
      <c r="H23" s="25">
        <v>46149</v>
      </c>
      <c r="I23" s="26">
        <v>771600</v>
      </c>
      <c r="J23" s="14">
        <v>400000</v>
      </c>
      <c r="K23" s="15"/>
      <c r="L23" s="16" t="s">
        <v>235</v>
      </c>
      <c r="M23" s="16"/>
      <c r="N23" s="17"/>
    </row>
    <row r="24" spans="2:14" x14ac:dyDescent="0.25">
      <c r="B24" s="7">
        <v>6</v>
      </c>
      <c r="C24" s="22"/>
      <c r="D24" s="9" t="s">
        <v>374</v>
      </c>
      <c r="E24" s="23" t="s">
        <v>375</v>
      </c>
      <c r="F24" s="24" t="s">
        <v>376</v>
      </c>
      <c r="G24" s="25">
        <v>46136</v>
      </c>
      <c r="H24" s="25">
        <v>46149</v>
      </c>
      <c r="I24" s="26">
        <v>2218500</v>
      </c>
      <c r="J24" s="14">
        <v>1157200</v>
      </c>
      <c r="K24" s="15"/>
      <c r="L24" s="16" t="s">
        <v>235</v>
      </c>
      <c r="M24" s="16"/>
      <c r="N24" s="17"/>
    </row>
    <row r="25" spans="2:14" x14ac:dyDescent="0.25">
      <c r="B25" s="7">
        <v>7</v>
      </c>
      <c r="C25" s="22"/>
      <c r="D25" s="9" t="s">
        <v>377</v>
      </c>
      <c r="E25" s="23" t="s">
        <v>378</v>
      </c>
      <c r="F25" s="24" t="s">
        <v>379</v>
      </c>
      <c r="G25" s="25">
        <v>46121</v>
      </c>
      <c r="H25" s="25">
        <v>46135</v>
      </c>
      <c r="I25" s="26">
        <v>367200</v>
      </c>
      <c r="J25" s="14"/>
      <c r="K25" s="15">
        <f t="shared" ref="K25:K30" si="3">I25</f>
        <v>367200</v>
      </c>
      <c r="L25" s="16" t="s">
        <v>89</v>
      </c>
      <c r="M25" s="16"/>
      <c r="N25" s="17"/>
    </row>
    <row r="26" spans="2:14" x14ac:dyDescent="0.25">
      <c r="B26" s="7">
        <v>8</v>
      </c>
      <c r="C26" s="22"/>
      <c r="D26" s="9" t="s">
        <v>380</v>
      </c>
      <c r="E26" s="23" t="s">
        <v>381</v>
      </c>
      <c r="F26" s="24" t="s">
        <v>382</v>
      </c>
      <c r="G26" s="25">
        <v>46136</v>
      </c>
      <c r="H26" s="25">
        <v>46149</v>
      </c>
      <c r="I26" s="26">
        <v>68556</v>
      </c>
      <c r="J26" s="14"/>
      <c r="K26" s="15">
        <f t="shared" si="3"/>
        <v>68556</v>
      </c>
      <c r="L26" s="16" t="s">
        <v>89</v>
      </c>
      <c r="M26" s="16"/>
      <c r="N26" s="17"/>
    </row>
    <row r="27" spans="2:14" x14ac:dyDescent="0.25">
      <c r="B27" s="7">
        <v>9</v>
      </c>
      <c r="C27" s="22"/>
      <c r="D27" s="9" t="s">
        <v>383</v>
      </c>
      <c r="E27" s="23" t="s">
        <v>384</v>
      </c>
      <c r="F27" s="24" t="s">
        <v>373</v>
      </c>
      <c r="G27" s="25">
        <v>46136</v>
      </c>
      <c r="H27" s="25">
        <v>46149</v>
      </c>
      <c r="I27" s="26">
        <v>137112</v>
      </c>
      <c r="J27" s="14"/>
      <c r="K27" s="15">
        <f t="shared" si="3"/>
        <v>137112</v>
      </c>
      <c r="L27" s="16" t="s">
        <v>89</v>
      </c>
      <c r="M27" s="16"/>
      <c r="N27" s="17"/>
    </row>
    <row r="28" spans="2:14" x14ac:dyDescent="0.25">
      <c r="B28" s="7">
        <v>10</v>
      </c>
      <c r="C28" s="22"/>
      <c r="D28" s="9" t="s">
        <v>385</v>
      </c>
      <c r="E28" s="23" t="s">
        <v>386</v>
      </c>
      <c r="F28" s="24" t="s">
        <v>376</v>
      </c>
      <c r="G28" s="25">
        <v>46136</v>
      </c>
      <c r="H28" s="25">
        <v>46149</v>
      </c>
      <c r="I28" s="26">
        <v>146400</v>
      </c>
      <c r="J28" s="14"/>
      <c r="K28" s="15">
        <f t="shared" si="3"/>
        <v>146400</v>
      </c>
      <c r="L28" s="16" t="s">
        <v>89</v>
      </c>
      <c r="M28" s="16"/>
      <c r="N28" s="17"/>
    </row>
    <row r="29" spans="2:14" x14ac:dyDescent="0.25">
      <c r="B29" s="7">
        <v>11</v>
      </c>
      <c r="C29" s="22"/>
      <c r="D29" s="9" t="s">
        <v>387</v>
      </c>
      <c r="E29" s="23" t="s">
        <v>375</v>
      </c>
      <c r="F29" s="24" t="s">
        <v>376</v>
      </c>
      <c r="G29" s="25">
        <v>46136</v>
      </c>
      <c r="H29" s="25">
        <v>46149</v>
      </c>
      <c r="I29" s="26">
        <v>342780</v>
      </c>
      <c r="J29" s="14"/>
      <c r="K29" s="15">
        <f t="shared" si="3"/>
        <v>342780</v>
      </c>
      <c r="L29" s="16" t="s">
        <v>89</v>
      </c>
      <c r="M29" s="16"/>
      <c r="N29" s="17"/>
    </row>
    <row r="30" spans="2:14" x14ac:dyDescent="0.25">
      <c r="B30" s="7">
        <v>12</v>
      </c>
      <c r="C30" s="22"/>
      <c r="D30" s="9" t="s">
        <v>388</v>
      </c>
      <c r="E30" s="23" t="s">
        <v>389</v>
      </c>
      <c r="F30" s="24" t="s">
        <v>390</v>
      </c>
      <c r="G30" s="25">
        <v>46122</v>
      </c>
      <c r="H30" s="25">
        <v>46135</v>
      </c>
      <c r="I30" s="26">
        <v>306500</v>
      </c>
      <c r="J30" s="14"/>
      <c r="K30" s="15">
        <f t="shared" si="3"/>
        <v>306500</v>
      </c>
      <c r="L30" s="16" t="s">
        <v>89</v>
      </c>
      <c r="M30" s="16"/>
      <c r="N30" s="17"/>
    </row>
    <row r="31" spans="2:14" ht="15.75" x14ac:dyDescent="0.25">
      <c r="B31" s="143" t="s">
        <v>12</v>
      </c>
      <c r="C31" s="144"/>
      <c r="D31" s="144"/>
      <c r="E31" s="144"/>
      <c r="F31" s="144"/>
      <c r="G31" s="144"/>
      <c r="H31" s="144"/>
      <c r="I31" s="170"/>
      <c r="J31" s="18">
        <f>SUM(J19:J30)</f>
        <v>3007100</v>
      </c>
      <c r="K31" s="19">
        <f>SUM(K19:K30)</f>
        <v>1368548</v>
      </c>
      <c r="L31" s="28"/>
      <c r="M31" s="29">
        <f>SUM(J31+K31)</f>
        <v>4375648</v>
      </c>
      <c r="N31" s="21"/>
    </row>
    <row r="32" spans="2:14" ht="15.75" x14ac:dyDescent="0.25">
      <c r="B32" s="147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71"/>
    </row>
    <row r="33" spans="2:14" ht="15.75" x14ac:dyDescent="0.25">
      <c r="B33" s="67">
        <v>1</v>
      </c>
      <c r="C33" s="31" t="s">
        <v>22</v>
      </c>
      <c r="D33" s="55" t="s">
        <v>391</v>
      </c>
      <c r="E33" s="71" t="s">
        <v>392</v>
      </c>
      <c r="F33" s="71" t="s">
        <v>393</v>
      </c>
      <c r="G33" s="68">
        <v>46140</v>
      </c>
      <c r="H33" s="68">
        <v>46153</v>
      </c>
      <c r="I33" s="69">
        <v>1075500</v>
      </c>
      <c r="J33" s="82">
        <f t="shared" ref="J33:J37" si="4">I33</f>
        <v>1075500</v>
      </c>
      <c r="K33" s="79"/>
      <c r="L33" s="16" t="s">
        <v>89</v>
      </c>
      <c r="M33" s="67"/>
      <c r="N33" s="65"/>
    </row>
    <row r="34" spans="2:14" ht="15.75" x14ac:dyDescent="0.25">
      <c r="B34" s="67">
        <v>2</v>
      </c>
      <c r="C34" s="67"/>
      <c r="D34" s="55" t="s">
        <v>394</v>
      </c>
      <c r="E34" s="71" t="s">
        <v>395</v>
      </c>
      <c r="F34" s="71" t="s">
        <v>396</v>
      </c>
      <c r="G34" s="68">
        <v>46140</v>
      </c>
      <c r="H34" s="68">
        <v>46153</v>
      </c>
      <c r="I34" s="69">
        <v>443700</v>
      </c>
      <c r="J34" s="82">
        <f t="shared" si="4"/>
        <v>443700</v>
      </c>
      <c r="K34" s="79"/>
      <c r="L34" s="16" t="s">
        <v>89</v>
      </c>
      <c r="M34" s="67"/>
      <c r="N34" s="65"/>
    </row>
    <row r="35" spans="2:14" ht="15.75" x14ac:dyDescent="0.25">
      <c r="B35" s="67">
        <v>3</v>
      </c>
      <c r="C35" s="67"/>
      <c r="D35" s="55" t="s">
        <v>397</v>
      </c>
      <c r="E35" s="71" t="s">
        <v>398</v>
      </c>
      <c r="F35" s="71" t="s">
        <v>399</v>
      </c>
      <c r="G35" s="68">
        <v>46140</v>
      </c>
      <c r="H35" s="68">
        <v>46153</v>
      </c>
      <c r="I35" s="69">
        <v>327900</v>
      </c>
      <c r="J35" s="82">
        <v>250000</v>
      </c>
      <c r="K35" s="79"/>
      <c r="L35" s="67" t="s">
        <v>235</v>
      </c>
      <c r="M35" s="67"/>
      <c r="N35" s="65"/>
    </row>
    <row r="36" spans="2:14" ht="15.75" x14ac:dyDescent="0.25">
      <c r="B36" s="67">
        <v>4</v>
      </c>
      <c r="C36" s="67"/>
      <c r="D36" s="55" t="s">
        <v>400</v>
      </c>
      <c r="E36" s="71" t="s">
        <v>401</v>
      </c>
      <c r="F36" s="71" t="s">
        <v>402</v>
      </c>
      <c r="G36" s="68">
        <v>46140</v>
      </c>
      <c r="H36" s="68">
        <v>46153</v>
      </c>
      <c r="I36" s="69">
        <v>251450</v>
      </c>
      <c r="J36" s="82">
        <f t="shared" si="4"/>
        <v>251450</v>
      </c>
      <c r="K36" s="79"/>
      <c r="L36" s="16" t="s">
        <v>89</v>
      </c>
      <c r="M36" s="67"/>
      <c r="N36" s="65"/>
    </row>
    <row r="37" spans="2:14" ht="15.75" x14ac:dyDescent="0.25">
      <c r="B37" s="67">
        <v>5</v>
      </c>
      <c r="C37" s="67"/>
      <c r="D37" s="55" t="s">
        <v>403</v>
      </c>
      <c r="E37" s="71" t="s">
        <v>404</v>
      </c>
      <c r="F37" s="71" t="s">
        <v>402</v>
      </c>
      <c r="G37" s="68">
        <v>46140</v>
      </c>
      <c r="H37" s="68">
        <v>46153</v>
      </c>
      <c r="I37" s="69">
        <v>443700</v>
      </c>
      <c r="J37" s="82">
        <f t="shared" si="4"/>
        <v>443700</v>
      </c>
      <c r="K37" s="79"/>
      <c r="L37" s="16" t="s">
        <v>89</v>
      </c>
      <c r="M37" s="67"/>
      <c r="N37" s="65"/>
    </row>
    <row r="38" spans="2:14" ht="15.75" x14ac:dyDescent="0.25">
      <c r="B38" s="67">
        <v>6</v>
      </c>
      <c r="C38" s="67"/>
      <c r="D38" s="55" t="s">
        <v>405</v>
      </c>
      <c r="E38" s="71" t="s">
        <v>406</v>
      </c>
      <c r="F38" s="71" t="s">
        <v>399</v>
      </c>
      <c r="G38" s="68">
        <v>46122</v>
      </c>
      <c r="H38" s="68">
        <v>46136</v>
      </c>
      <c r="I38" s="69">
        <v>254000</v>
      </c>
      <c r="J38" s="78"/>
      <c r="K38" s="70">
        <f>I38</f>
        <v>254000</v>
      </c>
      <c r="L38" s="16" t="s">
        <v>89</v>
      </c>
      <c r="M38" s="67"/>
      <c r="N38" s="65"/>
    </row>
    <row r="39" spans="2:14" ht="15.75" x14ac:dyDescent="0.25">
      <c r="B39" s="67">
        <v>7</v>
      </c>
      <c r="C39" s="67"/>
      <c r="D39" s="55" t="s">
        <v>407</v>
      </c>
      <c r="E39" s="71" t="s">
        <v>408</v>
      </c>
      <c r="F39" s="71" t="s">
        <v>409</v>
      </c>
      <c r="G39" s="68">
        <v>46135</v>
      </c>
      <c r="H39" s="68">
        <v>46148</v>
      </c>
      <c r="I39" s="69">
        <v>144000</v>
      </c>
      <c r="J39" s="78"/>
      <c r="K39" s="70">
        <f t="shared" ref="K39:K40" si="5">I39</f>
        <v>144000</v>
      </c>
      <c r="L39" s="16" t="s">
        <v>89</v>
      </c>
      <c r="M39" s="67"/>
      <c r="N39" s="65"/>
    </row>
    <row r="40" spans="2:14" ht="15.75" x14ac:dyDescent="0.25">
      <c r="B40" s="67">
        <v>8</v>
      </c>
      <c r="C40" s="67"/>
      <c r="D40" s="55" t="s">
        <v>410</v>
      </c>
      <c r="E40" s="71" t="s">
        <v>392</v>
      </c>
      <c r="F40" s="71" t="s">
        <v>393</v>
      </c>
      <c r="G40" s="68">
        <v>46140</v>
      </c>
      <c r="H40" s="68">
        <v>46153</v>
      </c>
      <c r="I40" s="69">
        <v>383125</v>
      </c>
      <c r="J40" s="78"/>
      <c r="K40" s="70">
        <f t="shared" si="5"/>
        <v>383125</v>
      </c>
      <c r="L40" s="16" t="s">
        <v>89</v>
      </c>
      <c r="M40" s="67"/>
      <c r="N40" s="65"/>
    </row>
    <row r="41" spans="2:14" ht="15.75" x14ac:dyDescent="0.25">
      <c r="B41" s="67">
        <v>10</v>
      </c>
      <c r="C41" s="67"/>
      <c r="D41" s="67"/>
      <c r="E41" s="71" t="s">
        <v>392</v>
      </c>
      <c r="F41" s="55" t="s">
        <v>393</v>
      </c>
      <c r="G41" s="68">
        <v>46094</v>
      </c>
      <c r="H41" s="68">
        <v>46107</v>
      </c>
      <c r="I41" s="69">
        <v>216000</v>
      </c>
      <c r="J41" s="78"/>
      <c r="K41" s="70">
        <f>I41</f>
        <v>216000</v>
      </c>
      <c r="L41" s="16" t="s">
        <v>89</v>
      </c>
      <c r="M41" s="67"/>
      <c r="N41" s="65"/>
    </row>
    <row r="42" spans="2:14" ht="15.75" x14ac:dyDescent="0.25">
      <c r="B42" s="157" t="s">
        <v>12</v>
      </c>
      <c r="C42" s="158"/>
      <c r="D42" s="158"/>
      <c r="E42" s="158"/>
      <c r="F42" s="158"/>
      <c r="G42" s="158"/>
      <c r="H42" s="158"/>
      <c r="I42" s="159"/>
      <c r="J42" s="60">
        <f>SUM(J33:J41)</f>
        <v>2464350</v>
      </c>
      <c r="K42" s="61">
        <f>SUM(K33:K41)</f>
        <v>997125</v>
      </c>
      <c r="L42" s="62"/>
      <c r="M42" s="63">
        <f>SUM(K42+J42)</f>
        <v>3461475</v>
      </c>
      <c r="N42" s="64"/>
    </row>
    <row r="43" spans="2:14" x14ac:dyDescent="0.25">
      <c r="D43" s="42"/>
      <c r="I43" s="43"/>
      <c r="N43" s="44"/>
    </row>
    <row r="44" spans="2:14" x14ac:dyDescent="0.25">
      <c r="D44" s="42"/>
      <c r="I44" s="43"/>
      <c r="N44" s="44"/>
    </row>
    <row r="45" spans="2:14" ht="15.75" x14ac:dyDescent="0.25">
      <c r="D45" s="42"/>
      <c r="G45" s="150" t="s">
        <v>23</v>
      </c>
      <c r="H45" s="150"/>
      <c r="I45" s="150"/>
      <c r="J45" s="18">
        <f>SUM(J42+J31+J17)</f>
        <v>12169650</v>
      </c>
      <c r="K45" s="40">
        <f>SUM(K42+K31+K17)</f>
        <v>7945475</v>
      </c>
      <c r="L45" s="28"/>
      <c r="M45" s="28"/>
      <c r="N45" s="21">
        <f>SUM(J45+K45)</f>
        <v>20115125</v>
      </c>
    </row>
    <row r="46" spans="2:14" x14ac:dyDescent="0.25">
      <c r="D46" s="42"/>
      <c r="I46" s="43"/>
      <c r="N46" s="44"/>
    </row>
    <row r="47" spans="2:14" x14ac:dyDescent="0.25">
      <c r="B47" s="160" t="s">
        <v>24</v>
      </c>
      <c r="C47" s="160"/>
      <c r="D47" s="160"/>
      <c r="I47" s="43"/>
      <c r="N47" s="44"/>
    </row>
    <row r="48" spans="2:14" ht="15.75" x14ac:dyDescent="0.25">
      <c r="B48" s="154" t="s">
        <v>3</v>
      </c>
      <c r="C48" s="161" t="s">
        <v>25</v>
      </c>
      <c r="D48" s="154" t="s">
        <v>5</v>
      </c>
      <c r="E48" s="154" t="s">
        <v>6</v>
      </c>
      <c r="F48" s="154" t="s">
        <v>7</v>
      </c>
      <c r="G48" s="154" t="s">
        <v>8</v>
      </c>
      <c r="H48" s="154" t="s">
        <v>9</v>
      </c>
      <c r="I48" s="161" t="s">
        <v>26</v>
      </c>
      <c r="J48" s="143" t="s">
        <v>11</v>
      </c>
      <c r="K48" s="144"/>
      <c r="L48" s="170"/>
      <c r="M48" s="133" t="s">
        <v>12</v>
      </c>
      <c r="N48" s="154" t="s">
        <v>13</v>
      </c>
    </row>
    <row r="49" spans="2:14" ht="15.75" x14ac:dyDescent="0.25">
      <c r="B49" s="155"/>
      <c r="C49" s="162"/>
      <c r="D49" s="155"/>
      <c r="E49" s="155"/>
      <c r="F49" s="155"/>
      <c r="G49" s="155"/>
      <c r="H49" s="155"/>
      <c r="I49" s="162"/>
      <c r="J49" s="4" t="s">
        <v>14</v>
      </c>
      <c r="K49" s="5" t="s">
        <v>15</v>
      </c>
      <c r="L49" s="6" t="s">
        <v>16</v>
      </c>
      <c r="M49" s="134"/>
      <c r="N49" s="155"/>
    </row>
    <row r="50" spans="2:14" ht="15" customHeight="1" x14ac:dyDescent="0.25">
      <c r="B50" s="27">
        <v>1</v>
      </c>
      <c r="C50" s="31" t="s">
        <v>146</v>
      </c>
      <c r="D50" s="45" t="s">
        <v>411</v>
      </c>
      <c r="E50" s="46" t="s">
        <v>412</v>
      </c>
      <c r="F50" s="46" t="s">
        <v>413</v>
      </c>
      <c r="G50" s="47">
        <v>46149</v>
      </c>
      <c r="H50" s="47"/>
      <c r="I50" s="48">
        <v>430200</v>
      </c>
      <c r="J50" s="49">
        <f>I50</f>
        <v>430200</v>
      </c>
      <c r="K50" s="50"/>
      <c r="L50" s="16" t="s">
        <v>89</v>
      </c>
      <c r="M50" s="17"/>
      <c r="N50" s="17"/>
    </row>
    <row r="51" spans="2:14" ht="15" customHeight="1" x14ac:dyDescent="0.25">
      <c r="B51" s="27">
        <v>2</v>
      </c>
      <c r="C51" s="31" t="s">
        <v>88</v>
      </c>
      <c r="D51" s="51" t="s">
        <v>416</v>
      </c>
      <c r="E51" s="51" t="s">
        <v>417</v>
      </c>
      <c r="F51" s="17" t="s">
        <v>298</v>
      </c>
      <c r="G51" s="47">
        <v>46149</v>
      </c>
      <c r="H51" s="52"/>
      <c r="I51" s="16">
        <v>1614500</v>
      </c>
      <c r="J51" s="49">
        <f t="shared" ref="J51:J56" si="6">I51</f>
        <v>1614500</v>
      </c>
      <c r="K51" s="50"/>
      <c r="L51" s="16" t="s">
        <v>89</v>
      </c>
      <c r="M51" s="17"/>
      <c r="N51" s="17"/>
    </row>
    <row r="52" spans="2:14" ht="15" customHeight="1" x14ac:dyDescent="0.25">
      <c r="B52" s="27">
        <v>3</v>
      </c>
      <c r="C52" s="31" t="s">
        <v>88</v>
      </c>
      <c r="D52" s="51" t="s">
        <v>418</v>
      </c>
      <c r="E52" s="51" t="s">
        <v>419</v>
      </c>
      <c r="F52" s="17" t="s">
        <v>379</v>
      </c>
      <c r="G52" s="47">
        <v>46149</v>
      </c>
      <c r="H52" s="52"/>
      <c r="I52" s="16">
        <v>858400</v>
      </c>
      <c r="J52" s="49">
        <f t="shared" si="6"/>
        <v>858400</v>
      </c>
      <c r="K52" s="50"/>
      <c r="L52" s="16" t="s">
        <v>89</v>
      </c>
      <c r="M52" s="17"/>
      <c r="N52" s="17"/>
    </row>
    <row r="53" spans="2:14" ht="15" customHeight="1" x14ac:dyDescent="0.25">
      <c r="B53" s="27">
        <v>4</v>
      </c>
      <c r="C53" s="31" t="s">
        <v>88</v>
      </c>
      <c r="D53" s="51" t="s">
        <v>420</v>
      </c>
      <c r="E53" s="51" t="s">
        <v>421</v>
      </c>
      <c r="F53" s="17" t="s">
        <v>422</v>
      </c>
      <c r="G53" s="47">
        <v>46149</v>
      </c>
      <c r="H53" s="52"/>
      <c r="I53" s="16">
        <v>327900</v>
      </c>
      <c r="J53" s="49">
        <f t="shared" si="6"/>
        <v>327900</v>
      </c>
      <c r="K53" s="50"/>
      <c r="L53" s="16" t="s">
        <v>89</v>
      </c>
      <c r="M53" s="17"/>
      <c r="N53" s="17"/>
    </row>
    <row r="54" spans="2:14" ht="15" customHeight="1" x14ac:dyDescent="0.25">
      <c r="B54" s="27">
        <v>5</v>
      </c>
      <c r="C54" s="31" t="s">
        <v>88</v>
      </c>
      <c r="D54" s="51" t="s">
        <v>424</v>
      </c>
      <c r="E54" s="51" t="s">
        <v>425</v>
      </c>
      <c r="F54" s="17" t="s">
        <v>298</v>
      </c>
      <c r="G54" s="47">
        <v>46149</v>
      </c>
      <c r="H54" s="52"/>
      <c r="I54" s="16">
        <v>756100</v>
      </c>
      <c r="J54" s="49">
        <f t="shared" si="6"/>
        <v>756100</v>
      </c>
      <c r="K54" s="50"/>
      <c r="L54" s="16" t="s">
        <v>89</v>
      </c>
      <c r="M54" s="17"/>
      <c r="N54" s="17"/>
    </row>
    <row r="55" spans="2:14" ht="15" customHeight="1" x14ac:dyDescent="0.25">
      <c r="B55" s="27">
        <v>6</v>
      </c>
      <c r="C55" s="31" t="s">
        <v>88</v>
      </c>
      <c r="D55" s="51" t="s">
        <v>426</v>
      </c>
      <c r="E55" s="51" t="s">
        <v>425</v>
      </c>
      <c r="F55" s="17" t="s">
        <v>298</v>
      </c>
      <c r="G55" s="47">
        <v>46149</v>
      </c>
      <c r="H55" s="52"/>
      <c r="I55" s="16">
        <v>34278</v>
      </c>
      <c r="J55" s="49"/>
      <c r="K55" s="15">
        <f>I55</f>
        <v>34278</v>
      </c>
      <c r="L55" s="16" t="s">
        <v>89</v>
      </c>
      <c r="M55" s="17"/>
      <c r="N55" s="17"/>
    </row>
    <row r="56" spans="2:14" ht="15" customHeight="1" x14ac:dyDescent="0.25">
      <c r="B56" s="27">
        <v>7</v>
      </c>
      <c r="C56" s="31" t="s">
        <v>88</v>
      </c>
      <c r="D56" s="51" t="s">
        <v>427</v>
      </c>
      <c r="E56" s="51" t="s">
        <v>428</v>
      </c>
      <c r="F56" s="17" t="s">
        <v>251</v>
      </c>
      <c r="G56" s="47">
        <v>46149</v>
      </c>
      <c r="H56" s="52"/>
      <c r="I56" s="16">
        <v>1614500</v>
      </c>
      <c r="J56" s="49">
        <f t="shared" si="6"/>
        <v>1614500</v>
      </c>
      <c r="K56" s="50"/>
      <c r="L56" s="16" t="s">
        <v>89</v>
      </c>
      <c r="M56" s="17"/>
      <c r="N56" s="17"/>
    </row>
    <row r="57" spans="2:14" ht="15.75" x14ac:dyDescent="0.25">
      <c r="B57" s="122" t="s">
        <v>27</v>
      </c>
      <c r="C57" s="123"/>
      <c r="D57" s="123"/>
      <c r="E57" s="123"/>
      <c r="F57" s="123"/>
      <c r="G57" s="123"/>
      <c r="H57" s="123"/>
      <c r="I57" s="124"/>
      <c r="J57" s="39">
        <f>SUM(J50:J56)</f>
        <v>5601600</v>
      </c>
      <c r="K57" s="40">
        <f>SUM(K50:K56)</f>
        <v>34278</v>
      </c>
      <c r="L57" s="28"/>
      <c r="M57" s="41">
        <f>SUM(J57+K57)</f>
        <v>5635878</v>
      </c>
      <c r="N57" s="53"/>
    </row>
    <row r="58" spans="2:14" ht="15.75" x14ac:dyDescent="0.25">
      <c r="B58" s="139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63"/>
    </row>
    <row r="59" spans="2:14" x14ac:dyDescent="0.25">
      <c r="B59" s="55">
        <v>1</v>
      </c>
      <c r="C59" s="8" t="s">
        <v>234</v>
      </c>
      <c r="D59" s="51" t="s">
        <v>414</v>
      </c>
      <c r="E59" s="51" t="s">
        <v>415</v>
      </c>
      <c r="F59" s="17" t="s">
        <v>304</v>
      </c>
      <c r="G59" s="47">
        <v>46149</v>
      </c>
      <c r="H59" s="52"/>
      <c r="I59" s="16">
        <v>1205300</v>
      </c>
      <c r="J59" s="49">
        <f>I59</f>
        <v>1205300</v>
      </c>
      <c r="K59" s="50"/>
      <c r="L59" s="16" t="s">
        <v>89</v>
      </c>
      <c r="M59" s="17"/>
      <c r="N59" s="17"/>
    </row>
    <row r="60" spans="2:14" x14ac:dyDescent="0.25">
      <c r="B60" s="55">
        <v>2</v>
      </c>
      <c r="C60" s="8" t="s">
        <v>234</v>
      </c>
      <c r="D60" s="51" t="s">
        <v>423</v>
      </c>
      <c r="E60" s="51" t="s">
        <v>306</v>
      </c>
      <c r="F60" s="17" t="s">
        <v>304</v>
      </c>
      <c r="G60" s="47">
        <v>46149</v>
      </c>
      <c r="H60" s="52"/>
      <c r="I60" s="16">
        <v>52800</v>
      </c>
      <c r="J60" s="49"/>
      <c r="K60" s="15">
        <f>I60</f>
        <v>52800</v>
      </c>
      <c r="L60" s="16" t="s">
        <v>89</v>
      </c>
      <c r="M60" s="17"/>
      <c r="N60" s="17"/>
    </row>
    <row r="61" spans="2:14" x14ac:dyDescent="0.25">
      <c r="B61" s="55">
        <v>3</v>
      </c>
      <c r="C61" s="8" t="s">
        <v>87</v>
      </c>
      <c r="D61" s="51" t="s">
        <v>429</v>
      </c>
      <c r="E61" s="51" t="s">
        <v>430</v>
      </c>
      <c r="F61" s="17" t="s">
        <v>431</v>
      </c>
      <c r="G61" s="47">
        <v>46149</v>
      </c>
      <c r="H61" s="52"/>
      <c r="I61" s="16">
        <v>327900</v>
      </c>
      <c r="J61" s="49">
        <f t="shared" ref="J61:J64" si="7">I61</f>
        <v>327900</v>
      </c>
      <c r="K61" s="50"/>
      <c r="L61" s="16" t="s">
        <v>89</v>
      </c>
      <c r="M61" s="17"/>
      <c r="N61" s="17"/>
    </row>
    <row r="62" spans="2:14" x14ac:dyDescent="0.25">
      <c r="B62" s="55">
        <v>4</v>
      </c>
      <c r="C62" s="8" t="s">
        <v>87</v>
      </c>
      <c r="D62" s="51" t="s">
        <v>432</v>
      </c>
      <c r="E62" s="51" t="s">
        <v>188</v>
      </c>
      <c r="F62" s="17" t="s">
        <v>431</v>
      </c>
      <c r="G62" s="47">
        <v>46149</v>
      </c>
      <c r="H62" s="52"/>
      <c r="I62" s="16">
        <v>430200</v>
      </c>
      <c r="J62" s="49">
        <f t="shared" si="7"/>
        <v>430200</v>
      </c>
      <c r="K62" s="50"/>
      <c r="L62" s="16" t="s">
        <v>89</v>
      </c>
      <c r="M62" s="17"/>
      <c r="N62" s="17"/>
    </row>
    <row r="63" spans="2:14" x14ac:dyDescent="0.25">
      <c r="B63" s="55">
        <v>5</v>
      </c>
      <c r="C63" s="8" t="s">
        <v>87</v>
      </c>
      <c r="D63" s="51" t="s">
        <v>433</v>
      </c>
      <c r="E63" s="51" t="s">
        <v>303</v>
      </c>
      <c r="F63" s="17" t="s">
        <v>434</v>
      </c>
      <c r="G63" s="47">
        <v>46149</v>
      </c>
      <c r="H63" s="52"/>
      <c r="I63" s="16">
        <v>858400</v>
      </c>
      <c r="J63" s="49">
        <f t="shared" si="7"/>
        <v>858400</v>
      </c>
      <c r="K63" s="50"/>
      <c r="L63" s="16" t="s">
        <v>89</v>
      </c>
      <c r="M63" s="17"/>
      <c r="N63" s="17"/>
    </row>
    <row r="64" spans="2:14" x14ac:dyDescent="0.25">
      <c r="B64" s="55">
        <v>6</v>
      </c>
      <c r="C64" s="8" t="s">
        <v>87</v>
      </c>
      <c r="D64" s="51" t="s">
        <v>435</v>
      </c>
      <c r="E64" s="51" t="s">
        <v>436</v>
      </c>
      <c r="F64" s="17" t="s">
        <v>434</v>
      </c>
      <c r="G64" s="47">
        <v>46149</v>
      </c>
      <c r="H64" s="52"/>
      <c r="I64" s="16">
        <v>1063000</v>
      </c>
      <c r="J64" s="49">
        <f t="shared" si="7"/>
        <v>1063000</v>
      </c>
      <c r="K64" s="50"/>
      <c r="L64" s="16" t="s">
        <v>89</v>
      </c>
      <c r="M64" s="17"/>
      <c r="N64" s="17"/>
    </row>
    <row r="65" spans="2:14" x14ac:dyDescent="0.25">
      <c r="B65" s="55">
        <v>7</v>
      </c>
      <c r="C65" s="8" t="s">
        <v>87</v>
      </c>
      <c r="D65" s="51" t="s">
        <v>437</v>
      </c>
      <c r="E65" s="51" t="s">
        <v>430</v>
      </c>
      <c r="F65" s="17" t="s">
        <v>431</v>
      </c>
      <c r="G65" s="47">
        <v>46149</v>
      </c>
      <c r="H65" s="52"/>
      <c r="I65" s="16">
        <v>68556</v>
      </c>
      <c r="J65" s="49"/>
      <c r="K65" s="15">
        <f>I65</f>
        <v>68556</v>
      </c>
      <c r="L65" s="16" t="s">
        <v>89</v>
      </c>
      <c r="M65" s="17"/>
      <c r="N65" s="17"/>
    </row>
    <row r="66" spans="2:14" x14ac:dyDescent="0.25">
      <c r="B66" s="55">
        <v>8</v>
      </c>
      <c r="C66" s="8" t="s">
        <v>87</v>
      </c>
      <c r="D66" s="51" t="s">
        <v>438</v>
      </c>
      <c r="E66" s="51" t="s">
        <v>439</v>
      </c>
      <c r="F66" s="17" t="s">
        <v>409</v>
      </c>
      <c r="G66" s="47">
        <v>46149</v>
      </c>
      <c r="H66" s="52"/>
      <c r="I66" s="16">
        <v>72000</v>
      </c>
      <c r="J66" s="49"/>
      <c r="K66" s="15">
        <f>I66</f>
        <v>72000</v>
      </c>
      <c r="L66" s="16" t="s">
        <v>89</v>
      </c>
      <c r="M66" s="17"/>
      <c r="N66" s="17"/>
    </row>
    <row r="67" spans="2:14" x14ac:dyDescent="0.25">
      <c r="B67" s="55">
        <v>9</v>
      </c>
      <c r="C67" s="8" t="s">
        <v>87</v>
      </c>
      <c r="D67" s="51" t="s">
        <v>440</v>
      </c>
      <c r="E67" s="51" t="s">
        <v>441</v>
      </c>
      <c r="F67" s="17" t="s">
        <v>434</v>
      </c>
      <c r="G67" s="47">
        <v>46149</v>
      </c>
      <c r="H67" s="52"/>
      <c r="I67" s="16">
        <v>215100</v>
      </c>
      <c r="J67" s="49">
        <f>I67</f>
        <v>215100</v>
      </c>
      <c r="K67" s="15"/>
      <c r="L67" s="16" t="s">
        <v>89</v>
      </c>
      <c r="M67" s="17"/>
      <c r="N67" s="17"/>
    </row>
    <row r="68" spans="2:14" ht="15.75" x14ac:dyDescent="0.25">
      <c r="B68" s="122" t="s">
        <v>27</v>
      </c>
      <c r="C68" s="123"/>
      <c r="D68" s="123"/>
      <c r="E68" s="123"/>
      <c r="F68" s="123"/>
      <c r="G68" s="123"/>
      <c r="H68" s="123"/>
      <c r="I68" s="124"/>
      <c r="J68" s="39">
        <f>SUM(J59:J67)</f>
        <v>4099900</v>
      </c>
      <c r="K68" s="40">
        <f>SUM(K59:K67)</f>
        <v>193356</v>
      </c>
      <c r="L68" s="28"/>
      <c r="M68" s="41">
        <f>SUM(J68+K68)</f>
        <v>4293256</v>
      </c>
      <c r="N68" s="53"/>
    </row>
    <row r="69" spans="2:14" x14ac:dyDescent="0.25">
      <c r="D69" s="42"/>
      <c r="I69" s="43"/>
    </row>
    <row r="70" spans="2:14" ht="15.75" x14ac:dyDescent="0.25">
      <c r="D70" s="42"/>
      <c r="H70" s="122" t="s">
        <v>28</v>
      </c>
      <c r="I70" s="124"/>
      <c r="J70" s="39">
        <f>SUM(J68+J57)</f>
        <v>9701500</v>
      </c>
      <c r="K70" s="40">
        <f>SUM(K68+K57)</f>
        <v>227634</v>
      </c>
      <c r="L70" s="28"/>
      <c r="M70" s="54"/>
      <c r="N70" s="21">
        <f>SUM(M68+M57)</f>
        <v>9929134</v>
      </c>
    </row>
    <row r="71" spans="2:14" x14ac:dyDescent="0.25">
      <c r="D71" s="42"/>
      <c r="I71" s="43"/>
    </row>
    <row r="72" spans="2:14" x14ac:dyDescent="0.25">
      <c r="D72" s="42"/>
      <c r="H72" s="125" t="s">
        <v>29</v>
      </c>
      <c r="I72" s="126"/>
      <c r="J72" s="56" t="s">
        <v>14</v>
      </c>
      <c r="K72" s="57" t="s">
        <v>15</v>
      </c>
      <c r="L72" s="17"/>
      <c r="M72" s="17"/>
      <c r="N72" s="17"/>
    </row>
    <row r="73" spans="2:14" ht="15.75" x14ac:dyDescent="0.25">
      <c r="D73" s="42"/>
      <c r="H73" s="129"/>
      <c r="I73" s="130"/>
      <c r="J73" s="39">
        <f>SUM(J70+J45)</f>
        <v>21871150</v>
      </c>
      <c r="K73" s="40">
        <f>SUM(K70+K45)</f>
        <v>8173109</v>
      </c>
      <c r="L73" s="28"/>
      <c r="M73" s="28"/>
      <c r="N73" s="58">
        <f>SUM(K73+J73)</f>
        <v>30044259</v>
      </c>
    </row>
    <row r="74" spans="2:14" x14ac:dyDescent="0.25">
      <c r="D74" s="42"/>
      <c r="I74" s="43"/>
      <c r="N74" s="59"/>
    </row>
    <row r="75" spans="2:14" x14ac:dyDescent="0.25">
      <c r="D75" s="2" t="s">
        <v>30</v>
      </c>
      <c r="E75" s="1"/>
      <c r="F75" s="1"/>
      <c r="G75" s="1"/>
      <c r="H75" s="1"/>
      <c r="I75" s="1"/>
      <c r="J75" s="1"/>
    </row>
    <row r="76" spans="2:14" x14ac:dyDescent="0.25">
      <c r="D76" s="2"/>
      <c r="E76" s="1"/>
      <c r="F76" s="1"/>
      <c r="G76" s="1"/>
      <c r="H76" s="1"/>
      <c r="I76" s="1"/>
      <c r="J76" s="1"/>
    </row>
    <row r="77" spans="2:14" x14ac:dyDescent="0.25">
      <c r="D77" s="3" t="s">
        <v>31</v>
      </c>
      <c r="E77" s="3"/>
      <c r="F77" s="3" t="s">
        <v>32</v>
      </c>
      <c r="G77" s="3"/>
      <c r="H77" s="3" t="s">
        <v>33</v>
      </c>
      <c r="I77" s="3"/>
      <c r="J77" s="3" t="s">
        <v>34</v>
      </c>
    </row>
    <row r="78" spans="2:14" x14ac:dyDescent="0.25">
      <c r="D78" s="3"/>
      <c r="E78" s="3"/>
      <c r="F78" s="3"/>
      <c r="G78" s="3"/>
      <c r="H78" s="3"/>
      <c r="I78" s="3"/>
      <c r="J78" s="3"/>
    </row>
    <row r="79" spans="2:14" x14ac:dyDescent="0.25">
      <c r="D79" s="3"/>
      <c r="E79" s="3"/>
      <c r="F79" s="3"/>
      <c r="G79" s="3"/>
      <c r="H79" s="3"/>
      <c r="I79" s="3"/>
      <c r="J79" s="3"/>
    </row>
    <row r="80" spans="2:14" x14ac:dyDescent="0.25">
      <c r="D80" s="3"/>
      <c r="E80" s="3"/>
      <c r="F80" s="3"/>
      <c r="G80" s="3"/>
      <c r="H80" s="3"/>
      <c r="I80" s="3"/>
      <c r="J80" s="3"/>
    </row>
    <row r="81" spans="4:10" x14ac:dyDescent="0.25">
      <c r="D81" s="3" t="s">
        <v>35</v>
      </c>
      <c r="E81" s="3"/>
      <c r="F81" s="3" t="s">
        <v>36</v>
      </c>
      <c r="G81" s="3"/>
      <c r="H81" s="3" t="s">
        <v>36</v>
      </c>
      <c r="I81" s="3"/>
      <c r="J81" s="3" t="s">
        <v>37</v>
      </c>
    </row>
    <row r="82" spans="4:10" x14ac:dyDescent="0.25">
      <c r="D82" s="42"/>
    </row>
    <row r="83" spans="4:10" x14ac:dyDescent="0.25">
      <c r="D83" s="42"/>
    </row>
    <row r="84" spans="4:10" x14ac:dyDescent="0.25">
      <c r="D84" s="42"/>
    </row>
    <row r="85" spans="4:10" x14ac:dyDescent="0.25">
      <c r="D85" s="42"/>
    </row>
    <row r="86" spans="4:10" x14ac:dyDescent="0.25">
      <c r="D86" s="42"/>
    </row>
  </sheetData>
  <mergeCells count="37">
    <mergeCell ref="B18:N18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7:I17"/>
    <mergeCell ref="N48:N49"/>
    <mergeCell ref="B31:I31"/>
    <mergeCell ref="B32:N32"/>
    <mergeCell ref="B42:I42"/>
    <mergeCell ref="G45:I45"/>
    <mergeCell ref="B47:D47"/>
    <mergeCell ref="B48:B49"/>
    <mergeCell ref="C48:C49"/>
    <mergeCell ref="D48:D49"/>
    <mergeCell ref="E48:E49"/>
    <mergeCell ref="F48:F49"/>
    <mergeCell ref="G48:G49"/>
    <mergeCell ref="H48:H49"/>
    <mergeCell ref="I48:I49"/>
    <mergeCell ref="J48:L48"/>
    <mergeCell ref="M48:M49"/>
    <mergeCell ref="B57:I57"/>
    <mergeCell ref="B58:N58"/>
    <mergeCell ref="B68:I68"/>
    <mergeCell ref="H70:I70"/>
    <mergeCell ref="H72:I7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1238-EA8D-4EF3-BA27-19F1C8ED0056}">
  <dimension ref="B2:P90"/>
  <sheetViews>
    <sheetView topLeftCell="A49" workbookViewId="0">
      <selection activeCell="J70" sqref="J70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442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443</v>
      </c>
      <c r="E8" s="10" t="s">
        <v>444</v>
      </c>
      <c r="F8" s="11" t="s">
        <v>257</v>
      </c>
      <c r="G8" s="12">
        <v>46136</v>
      </c>
      <c r="H8" s="12">
        <v>46149</v>
      </c>
      <c r="I8" s="13">
        <v>1416900</v>
      </c>
      <c r="J8" s="14">
        <f>I8</f>
        <v>1416900</v>
      </c>
      <c r="K8" s="15"/>
      <c r="L8" s="16" t="s">
        <v>89</v>
      </c>
      <c r="M8" s="16"/>
      <c r="N8" s="17"/>
    </row>
    <row r="9" spans="2:16" x14ac:dyDescent="0.25">
      <c r="B9" s="7">
        <v>2</v>
      </c>
      <c r="C9" s="8"/>
      <c r="D9" s="9" t="s">
        <v>445</v>
      </c>
      <c r="E9" s="10" t="s">
        <v>446</v>
      </c>
      <c r="F9" s="11" t="s">
        <v>447</v>
      </c>
      <c r="G9" s="12">
        <v>46136</v>
      </c>
      <c r="H9" s="12">
        <v>46149</v>
      </c>
      <c r="I9" s="13">
        <v>443700</v>
      </c>
      <c r="J9" s="14">
        <f t="shared" ref="J9:J14" si="0">I9</f>
        <v>443700</v>
      </c>
      <c r="K9" s="15"/>
      <c r="L9" s="16" t="s">
        <v>89</v>
      </c>
      <c r="M9" s="16"/>
      <c r="N9" s="17"/>
    </row>
    <row r="10" spans="2:16" x14ac:dyDescent="0.25">
      <c r="B10" s="7">
        <v>3</v>
      </c>
      <c r="C10" s="8"/>
      <c r="D10" s="9" t="s">
        <v>448</v>
      </c>
      <c r="E10" s="10" t="s">
        <v>449</v>
      </c>
      <c r="F10" s="11" t="s">
        <v>233</v>
      </c>
      <c r="G10" s="12">
        <v>46137</v>
      </c>
      <c r="H10" s="12">
        <v>46150</v>
      </c>
      <c r="I10" s="13">
        <v>4437000</v>
      </c>
      <c r="J10" s="14">
        <f t="shared" si="0"/>
        <v>4437000</v>
      </c>
      <c r="K10" s="15"/>
      <c r="L10" s="16" t="s">
        <v>89</v>
      </c>
      <c r="M10" s="16"/>
      <c r="N10" s="17"/>
    </row>
    <row r="11" spans="2:16" x14ac:dyDescent="0.25">
      <c r="B11" s="7">
        <v>4</v>
      </c>
      <c r="C11" s="8"/>
      <c r="D11" s="9" t="s">
        <v>450</v>
      </c>
      <c r="E11" s="10" t="s">
        <v>451</v>
      </c>
      <c r="F11" s="11" t="s">
        <v>452</v>
      </c>
      <c r="G11" s="12">
        <v>46137</v>
      </c>
      <c r="H11" s="12">
        <v>46150</v>
      </c>
      <c r="I11" s="13">
        <v>327900</v>
      </c>
      <c r="J11" s="14">
        <f t="shared" si="0"/>
        <v>327900</v>
      </c>
      <c r="K11" s="15"/>
      <c r="L11" s="16" t="s">
        <v>89</v>
      </c>
      <c r="M11" s="16"/>
      <c r="N11" s="17"/>
    </row>
    <row r="12" spans="2:16" x14ac:dyDescent="0.25">
      <c r="B12" s="7">
        <v>5</v>
      </c>
      <c r="C12" s="8"/>
      <c r="D12" s="9" t="s">
        <v>453</v>
      </c>
      <c r="E12" s="10" t="s">
        <v>454</v>
      </c>
      <c r="F12" s="11" t="s">
        <v>455</v>
      </c>
      <c r="G12" s="12">
        <v>46137</v>
      </c>
      <c r="H12" s="12">
        <v>46150</v>
      </c>
      <c r="I12" s="13">
        <v>559500</v>
      </c>
      <c r="J12" s="14">
        <f t="shared" si="0"/>
        <v>559500</v>
      </c>
      <c r="K12" s="15"/>
      <c r="L12" s="16" t="s">
        <v>89</v>
      </c>
      <c r="M12" s="16"/>
      <c r="N12" s="17"/>
    </row>
    <row r="13" spans="2:16" x14ac:dyDescent="0.25">
      <c r="B13" s="7">
        <v>6</v>
      </c>
      <c r="C13" s="8"/>
      <c r="D13" s="9" t="s">
        <v>456</v>
      </c>
      <c r="E13" s="10" t="s">
        <v>457</v>
      </c>
      <c r="F13" s="11" t="s">
        <v>458</v>
      </c>
      <c r="G13" s="12">
        <v>46137</v>
      </c>
      <c r="H13" s="12">
        <v>46150</v>
      </c>
      <c r="I13" s="13">
        <v>330900</v>
      </c>
      <c r="J13" s="14">
        <f t="shared" si="0"/>
        <v>330900</v>
      </c>
      <c r="K13" s="15"/>
      <c r="L13" s="16" t="s">
        <v>89</v>
      </c>
      <c r="M13" s="16"/>
      <c r="N13" s="17"/>
    </row>
    <row r="14" spans="2:16" x14ac:dyDescent="0.25">
      <c r="B14" s="7">
        <v>10</v>
      </c>
      <c r="C14" s="8"/>
      <c r="D14" s="9" t="s">
        <v>459</v>
      </c>
      <c r="E14" s="10" t="s">
        <v>460</v>
      </c>
      <c r="F14" s="11" t="s">
        <v>20</v>
      </c>
      <c r="G14" s="12">
        <v>46137</v>
      </c>
      <c r="H14" s="12">
        <v>46150</v>
      </c>
      <c r="I14" s="13">
        <v>430200</v>
      </c>
      <c r="J14" s="14">
        <f t="shared" si="0"/>
        <v>430200</v>
      </c>
      <c r="K14" s="15"/>
      <c r="L14" s="16" t="s">
        <v>89</v>
      </c>
      <c r="M14" s="16"/>
      <c r="N14" s="17"/>
    </row>
    <row r="15" spans="2:16" x14ac:dyDescent="0.25">
      <c r="B15" s="7">
        <v>11</v>
      </c>
      <c r="C15" s="8"/>
      <c r="D15" s="9" t="s">
        <v>461</v>
      </c>
      <c r="E15" s="10" t="s">
        <v>462</v>
      </c>
      <c r="F15" s="11" t="s">
        <v>257</v>
      </c>
      <c r="G15" s="12">
        <v>46122</v>
      </c>
      <c r="H15" s="12">
        <v>46135</v>
      </c>
      <c r="I15" s="13">
        <v>1432500</v>
      </c>
      <c r="J15" s="14"/>
      <c r="K15" s="15">
        <f>I15</f>
        <v>1432500</v>
      </c>
      <c r="L15" s="16" t="s">
        <v>89</v>
      </c>
      <c r="M15" s="16"/>
      <c r="N15" s="17"/>
    </row>
    <row r="16" spans="2:16" x14ac:dyDescent="0.25">
      <c r="B16" s="7">
        <v>12</v>
      </c>
      <c r="C16" s="8"/>
      <c r="D16" s="9" t="s">
        <v>463</v>
      </c>
      <c r="E16" s="10" t="s">
        <v>444</v>
      </c>
      <c r="F16" s="11" t="s">
        <v>257</v>
      </c>
      <c r="G16" s="12">
        <v>46136</v>
      </c>
      <c r="H16" s="12">
        <v>46149</v>
      </c>
      <c r="I16" s="13">
        <v>342780</v>
      </c>
      <c r="J16" s="14"/>
      <c r="K16" s="15">
        <f t="shared" ref="K16:K18" si="1">I16</f>
        <v>342780</v>
      </c>
      <c r="L16" s="16" t="s">
        <v>89</v>
      </c>
      <c r="M16" s="16"/>
      <c r="N16" s="17"/>
    </row>
    <row r="17" spans="2:14" x14ac:dyDescent="0.25">
      <c r="B17" s="7">
        <v>13</v>
      </c>
      <c r="C17" s="8"/>
      <c r="D17" s="9" t="s">
        <v>464</v>
      </c>
      <c r="E17" s="10" t="s">
        <v>446</v>
      </c>
      <c r="F17" s="11" t="s">
        <v>447</v>
      </c>
      <c r="G17" s="12">
        <v>46136</v>
      </c>
      <c r="H17" s="12">
        <v>46149</v>
      </c>
      <c r="I17" s="13">
        <v>68556</v>
      </c>
      <c r="J17" s="14"/>
      <c r="K17" s="15">
        <f t="shared" si="1"/>
        <v>68556</v>
      </c>
      <c r="L17" s="16" t="s">
        <v>89</v>
      </c>
      <c r="M17" s="16"/>
      <c r="N17" s="17"/>
    </row>
    <row r="18" spans="2:14" x14ac:dyDescent="0.25">
      <c r="B18" s="7">
        <v>14</v>
      </c>
      <c r="C18" s="8"/>
      <c r="D18" s="9" t="s">
        <v>465</v>
      </c>
      <c r="E18" s="10" t="s">
        <v>457</v>
      </c>
      <c r="F18" s="11" t="s">
        <v>458</v>
      </c>
      <c r="G18" s="12">
        <v>46137</v>
      </c>
      <c r="H18" s="12">
        <v>46150</v>
      </c>
      <c r="I18" s="13">
        <v>34278</v>
      </c>
      <c r="J18" s="14"/>
      <c r="K18" s="15">
        <f t="shared" si="1"/>
        <v>34278</v>
      </c>
      <c r="L18" s="16" t="s">
        <v>89</v>
      </c>
      <c r="M18" s="16"/>
      <c r="N18" s="17"/>
    </row>
    <row r="19" spans="2:14" ht="15.75" x14ac:dyDescent="0.25">
      <c r="B19" s="122" t="s">
        <v>12</v>
      </c>
      <c r="C19" s="123"/>
      <c r="D19" s="123"/>
      <c r="E19" s="123"/>
      <c r="F19" s="123"/>
      <c r="G19" s="123"/>
      <c r="H19" s="123"/>
      <c r="I19" s="124"/>
      <c r="J19" s="18">
        <f>SUM(J8:J18)</f>
        <v>7946100</v>
      </c>
      <c r="K19" s="19">
        <f>SUM(K8:K18)</f>
        <v>1878114</v>
      </c>
      <c r="L19" s="20"/>
      <c r="M19" s="21">
        <f>SUM(J19+K19)</f>
        <v>9824214</v>
      </c>
      <c r="N19" s="21"/>
    </row>
    <row r="20" spans="2:14" ht="15.75" x14ac:dyDescent="0.25">
      <c r="B20" s="141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72"/>
    </row>
    <row r="21" spans="2:14" x14ac:dyDescent="0.25">
      <c r="B21" s="7">
        <v>1</v>
      </c>
      <c r="C21" s="22" t="s">
        <v>21</v>
      </c>
      <c r="D21" s="9" t="s">
        <v>371</v>
      </c>
      <c r="E21" s="23" t="s">
        <v>372</v>
      </c>
      <c r="F21" s="24" t="s">
        <v>373</v>
      </c>
      <c r="G21" s="25">
        <v>46136</v>
      </c>
      <c r="H21" s="25">
        <v>46149</v>
      </c>
      <c r="I21" s="26">
        <v>371600</v>
      </c>
      <c r="J21" s="14">
        <f>I21</f>
        <v>371600</v>
      </c>
      <c r="K21" s="15"/>
      <c r="L21" s="16" t="s">
        <v>89</v>
      </c>
      <c r="M21" s="16"/>
      <c r="N21" s="17"/>
    </row>
    <row r="22" spans="2:14" x14ac:dyDescent="0.25">
      <c r="B22" s="7">
        <v>2</v>
      </c>
      <c r="C22" s="22"/>
      <c r="D22" s="9" t="s">
        <v>466</v>
      </c>
      <c r="E22" s="23" t="s">
        <v>467</v>
      </c>
      <c r="F22" s="24" t="s">
        <v>373</v>
      </c>
      <c r="G22" s="25">
        <v>46136</v>
      </c>
      <c r="H22" s="25">
        <v>46149</v>
      </c>
      <c r="I22" s="26">
        <v>887400</v>
      </c>
      <c r="J22" s="14">
        <f t="shared" ref="J22:J23" si="2">I22</f>
        <v>887400</v>
      </c>
      <c r="K22" s="15"/>
      <c r="L22" s="16" t="s">
        <v>89</v>
      </c>
      <c r="M22" s="16"/>
      <c r="N22" s="17"/>
    </row>
    <row r="23" spans="2:14" x14ac:dyDescent="0.25">
      <c r="B23" s="7">
        <v>3</v>
      </c>
      <c r="C23" s="22"/>
      <c r="D23" s="9" t="s">
        <v>374</v>
      </c>
      <c r="E23" s="23" t="s">
        <v>375</v>
      </c>
      <c r="F23" s="24" t="s">
        <v>376</v>
      </c>
      <c r="G23" s="25">
        <v>46136</v>
      </c>
      <c r="H23" s="25">
        <v>46149</v>
      </c>
      <c r="I23" s="26">
        <v>1061300</v>
      </c>
      <c r="J23" s="14">
        <f t="shared" si="2"/>
        <v>1061300</v>
      </c>
      <c r="K23" s="15"/>
      <c r="L23" s="16" t="s">
        <v>89</v>
      </c>
      <c r="M23" s="16"/>
      <c r="N23" s="17"/>
    </row>
    <row r="24" spans="2:14" x14ac:dyDescent="0.25">
      <c r="B24" s="7">
        <v>8</v>
      </c>
      <c r="C24" s="22"/>
      <c r="D24" s="9" t="s">
        <v>469</v>
      </c>
      <c r="E24" s="23" t="s">
        <v>470</v>
      </c>
      <c r="F24" s="24" t="s">
        <v>471</v>
      </c>
      <c r="G24" s="25">
        <v>46130</v>
      </c>
      <c r="H24" s="25">
        <v>46143</v>
      </c>
      <c r="I24" s="26">
        <v>633600</v>
      </c>
      <c r="J24" s="14"/>
      <c r="K24" s="15">
        <f>I24</f>
        <v>633600</v>
      </c>
      <c r="L24" s="16" t="s">
        <v>89</v>
      </c>
      <c r="M24" s="16"/>
      <c r="N24" s="17"/>
    </row>
    <row r="25" spans="2:14" x14ac:dyDescent="0.25">
      <c r="B25" s="7">
        <v>10</v>
      </c>
      <c r="C25" s="22"/>
      <c r="D25" s="9" t="s">
        <v>472</v>
      </c>
      <c r="E25" s="23" t="s">
        <v>467</v>
      </c>
      <c r="F25" s="24" t="s">
        <v>373</v>
      </c>
      <c r="G25" s="25">
        <v>46136</v>
      </c>
      <c r="H25" s="25">
        <v>46149</v>
      </c>
      <c r="I25" s="26">
        <v>281112</v>
      </c>
      <c r="J25" s="14"/>
      <c r="K25" s="15">
        <f t="shared" ref="K25:K30" si="3">I25</f>
        <v>281112</v>
      </c>
      <c r="L25" s="16" t="s">
        <v>89</v>
      </c>
      <c r="M25" s="16"/>
      <c r="N25" s="17"/>
    </row>
    <row r="26" spans="2:14" x14ac:dyDescent="0.25">
      <c r="B26" s="7">
        <v>11</v>
      </c>
      <c r="C26" s="22"/>
      <c r="D26" s="9" t="s">
        <v>473</v>
      </c>
      <c r="E26" s="23" t="s">
        <v>474</v>
      </c>
      <c r="F26" s="24" t="s">
        <v>475</v>
      </c>
      <c r="G26" s="25">
        <v>46137</v>
      </c>
      <c r="H26" s="25">
        <v>46150</v>
      </c>
      <c r="I26" s="26">
        <v>171390</v>
      </c>
      <c r="J26" s="14"/>
      <c r="K26" s="15">
        <f t="shared" si="3"/>
        <v>171390</v>
      </c>
      <c r="L26" s="16" t="s">
        <v>89</v>
      </c>
      <c r="M26" s="16"/>
      <c r="N26" s="17"/>
    </row>
    <row r="27" spans="2:14" x14ac:dyDescent="0.25">
      <c r="B27" s="7">
        <v>12</v>
      </c>
      <c r="C27" s="22"/>
      <c r="D27" s="9" t="s">
        <v>476</v>
      </c>
      <c r="E27" s="23" t="s">
        <v>477</v>
      </c>
      <c r="F27" s="24" t="s">
        <v>478</v>
      </c>
      <c r="G27" s="25">
        <v>46137</v>
      </c>
      <c r="H27" s="25">
        <v>46150</v>
      </c>
      <c r="I27" s="26">
        <v>137112</v>
      </c>
      <c r="J27" s="14"/>
      <c r="K27" s="15">
        <v>50000</v>
      </c>
      <c r="L27" s="16" t="s">
        <v>235</v>
      </c>
      <c r="M27" s="16"/>
      <c r="N27" s="17"/>
    </row>
    <row r="28" spans="2:14" x14ac:dyDescent="0.25">
      <c r="B28" s="7">
        <v>13</v>
      </c>
      <c r="C28" s="22"/>
      <c r="D28" s="9" t="s">
        <v>479</v>
      </c>
      <c r="E28" s="23" t="s">
        <v>480</v>
      </c>
      <c r="F28" s="24" t="s">
        <v>119</v>
      </c>
      <c r="G28" s="25">
        <v>46137</v>
      </c>
      <c r="H28" s="25">
        <v>46150</v>
      </c>
      <c r="I28" s="26">
        <v>416556</v>
      </c>
      <c r="J28" s="14"/>
      <c r="K28" s="15">
        <f t="shared" si="3"/>
        <v>416556</v>
      </c>
      <c r="L28" s="16" t="s">
        <v>89</v>
      </c>
      <c r="M28" s="16"/>
      <c r="N28" s="17"/>
    </row>
    <row r="29" spans="2:14" x14ac:dyDescent="0.25">
      <c r="B29" s="7">
        <v>15</v>
      </c>
      <c r="C29" s="22"/>
      <c r="D29" s="9" t="s">
        <v>481</v>
      </c>
      <c r="E29" s="23" t="s">
        <v>482</v>
      </c>
      <c r="F29" s="24" t="s">
        <v>468</v>
      </c>
      <c r="G29" s="25">
        <v>46137</v>
      </c>
      <c r="H29" s="25">
        <v>46150</v>
      </c>
      <c r="I29" s="26">
        <v>261000</v>
      </c>
      <c r="J29" s="14"/>
      <c r="K29" s="15">
        <f t="shared" si="3"/>
        <v>261000</v>
      </c>
      <c r="L29" s="16" t="s">
        <v>89</v>
      </c>
      <c r="M29" s="16"/>
      <c r="N29" s="17"/>
    </row>
    <row r="30" spans="2:14" x14ac:dyDescent="0.25">
      <c r="B30" s="7">
        <v>16</v>
      </c>
      <c r="C30" s="22"/>
      <c r="D30" s="9" t="s">
        <v>483</v>
      </c>
      <c r="E30" s="23" t="s">
        <v>101</v>
      </c>
      <c r="F30" s="24" t="s">
        <v>119</v>
      </c>
      <c r="G30" s="25">
        <v>46137</v>
      </c>
      <c r="H30" s="25">
        <v>46150</v>
      </c>
      <c r="I30" s="26">
        <v>158000</v>
      </c>
      <c r="J30" s="14"/>
      <c r="K30" s="15">
        <f t="shared" si="3"/>
        <v>158000</v>
      </c>
      <c r="L30" s="16" t="s">
        <v>89</v>
      </c>
      <c r="M30" s="16"/>
      <c r="N30" s="17"/>
    </row>
    <row r="31" spans="2:14" ht="15.75" x14ac:dyDescent="0.25">
      <c r="B31" s="143" t="s">
        <v>12</v>
      </c>
      <c r="C31" s="144"/>
      <c r="D31" s="144"/>
      <c r="E31" s="144"/>
      <c r="F31" s="144"/>
      <c r="G31" s="144"/>
      <c r="H31" s="144"/>
      <c r="I31" s="170"/>
      <c r="J31" s="18">
        <f>SUM(J21:J30)</f>
        <v>2320300</v>
      </c>
      <c r="K31" s="19">
        <f>SUM(K21:K30)</f>
        <v>1971658</v>
      </c>
      <c r="L31" s="28"/>
      <c r="M31" s="29">
        <f>SUM(J31+K31)</f>
        <v>4291958</v>
      </c>
      <c r="N31" s="21"/>
    </row>
    <row r="32" spans="2:14" ht="15.75" x14ac:dyDescent="0.25">
      <c r="B32" s="147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71"/>
    </row>
    <row r="33" spans="2:14" ht="15.75" x14ac:dyDescent="0.25">
      <c r="B33" s="67">
        <v>1</v>
      </c>
      <c r="C33" s="31" t="s">
        <v>22</v>
      </c>
      <c r="D33" s="55" t="s">
        <v>484</v>
      </c>
      <c r="E33" s="71" t="s">
        <v>485</v>
      </c>
      <c r="F33" s="71" t="s">
        <v>486</v>
      </c>
      <c r="G33" s="68">
        <v>46137</v>
      </c>
      <c r="H33" s="68">
        <v>46150</v>
      </c>
      <c r="I33" s="69">
        <v>645300</v>
      </c>
      <c r="J33" s="82">
        <f>I33</f>
        <v>645300</v>
      </c>
      <c r="K33" s="79"/>
      <c r="L33" s="16" t="s">
        <v>89</v>
      </c>
      <c r="M33" s="67"/>
      <c r="N33" s="65"/>
    </row>
    <row r="34" spans="2:14" ht="15.75" x14ac:dyDescent="0.25">
      <c r="B34" s="67">
        <v>2</v>
      </c>
      <c r="C34" s="67"/>
      <c r="D34" s="55" t="s">
        <v>487</v>
      </c>
      <c r="E34" s="71" t="s">
        <v>488</v>
      </c>
      <c r="F34" s="71" t="s">
        <v>489</v>
      </c>
      <c r="G34" s="68">
        <v>46137</v>
      </c>
      <c r="H34" s="68">
        <v>46150</v>
      </c>
      <c r="I34" s="69">
        <v>1102500</v>
      </c>
      <c r="J34" s="82">
        <f t="shared" ref="J34:J37" si="4">I34</f>
        <v>1102500</v>
      </c>
      <c r="K34" s="79"/>
      <c r="L34" s="16" t="s">
        <v>89</v>
      </c>
      <c r="M34" s="67"/>
      <c r="N34" s="65"/>
    </row>
    <row r="35" spans="2:14" ht="15.75" x14ac:dyDescent="0.25">
      <c r="B35" s="67">
        <v>3</v>
      </c>
      <c r="C35" s="67"/>
      <c r="D35" s="55" t="s">
        <v>490</v>
      </c>
      <c r="E35" s="71" t="s">
        <v>491</v>
      </c>
      <c r="F35" s="71" t="s">
        <v>486</v>
      </c>
      <c r="G35" s="68">
        <v>46137</v>
      </c>
      <c r="H35" s="68">
        <v>46150</v>
      </c>
      <c r="I35" s="69">
        <v>215100</v>
      </c>
      <c r="J35" s="82">
        <f t="shared" si="4"/>
        <v>215100</v>
      </c>
      <c r="K35" s="79"/>
      <c r="L35" s="16" t="s">
        <v>89</v>
      </c>
      <c r="M35" s="67"/>
      <c r="N35" s="65"/>
    </row>
    <row r="36" spans="2:14" ht="15.75" x14ac:dyDescent="0.25">
      <c r="B36" s="67">
        <v>4</v>
      </c>
      <c r="C36" s="67"/>
      <c r="D36" s="55" t="s">
        <v>492</v>
      </c>
      <c r="E36" s="71" t="s">
        <v>493</v>
      </c>
      <c r="F36" s="71" t="s">
        <v>486</v>
      </c>
      <c r="G36" s="68">
        <v>46137</v>
      </c>
      <c r="H36" s="68">
        <v>46150</v>
      </c>
      <c r="I36" s="69">
        <v>645300</v>
      </c>
      <c r="J36" s="82">
        <f t="shared" si="4"/>
        <v>645300</v>
      </c>
      <c r="K36" s="79"/>
      <c r="L36" s="16" t="s">
        <v>89</v>
      </c>
      <c r="M36" s="67"/>
      <c r="N36" s="65"/>
    </row>
    <row r="37" spans="2:14" ht="15.75" x14ac:dyDescent="0.25">
      <c r="B37" s="67">
        <v>5</v>
      </c>
      <c r="C37" s="67"/>
      <c r="D37" s="55" t="s">
        <v>397</v>
      </c>
      <c r="E37" s="71" t="s">
        <v>398</v>
      </c>
      <c r="F37" s="71" t="s">
        <v>399</v>
      </c>
      <c r="G37" s="68">
        <v>46140</v>
      </c>
      <c r="H37" s="68">
        <v>46153</v>
      </c>
      <c r="I37" s="69">
        <v>77900</v>
      </c>
      <c r="J37" s="82">
        <f t="shared" si="4"/>
        <v>77900</v>
      </c>
      <c r="K37" s="79"/>
      <c r="L37" s="16" t="s">
        <v>89</v>
      </c>
      <c r="M37" s="67"/>
      <c r="N37" s="65"/>
    </row>
    <row r="38" spans="2:14" ht="15.75" x14ac:dyDescent="0.25">
      <c r="B38" s="67">
        <v>6</v>
      </c>
      <c r="C38" s="67"/>
      <c r="D38" s="55" t="s">
        <v>494</v>
      </c>
      <c r="E38" s="71" t="s">
        <v>495</v>
      </c>
      <c r="F38" s="71" t="s">
        <v>486</v>
      </c>
      <c r="G38" s="68">
        <v>46137</v>
      </c>
      <c r="H38" s="68">
        <v>46150</v>
      </c>
      <c r="I38" s="69">
        <v>217500</v>
      </c>
      <c r="J38" s="82"/>
      <c r="K38" s="70">
        <f>I38</f>
        <v>217500</v>
      </c>
      <c r="L38" s="16" t="s">
        <v>89</v>
      </c>
      <c r="M38" s="67"/>
      <c r="N38" s="65"/>
    </row>
    <row r="39" spans="2:14" ht="15.75" x14ac:dyDescent="0.25">
      <c r="B39" s="67">
        <v>7</v>
      </c>
      <c r="C39" s="67"/>
      <c r="D39" s="55" t="s">
        <v>496</v>
      </c>
      <c r="E39" s="71" t="s">
        <v>497</v>
      </c>
      <c r="F39" s="71" t="s">
        <v>498</v>
      </c>
      <c r="G39" s="68">
        <v>46137</v>
      </c>
      <c r="H39" s="68">
        <v>46150</v>
      </c>
      <c r="I39" s="69">
        <v>432000</v>
      </c>
      <c r="J39" s="82"/>
      <c r="K39" s="70">
        <f t="shared" ref="K39:K43" si="5">I39</f>
        <v>432000</v>
      </c>
      <c r="L39" s="16" t="s">
        <v>89</v>
      </c>
      <c r="M39" s="67"/>
      <c r="N39" s="65"/>
    </row>
    <row r="40" spans="2:14" ht="15.75" x14ac:dyDescent="0.25">
      <c r="B40" s="67">
        <v>8</v>
      </c>
      <c r="C40" s="67"/>
      <c r="D40" s="55" t="s">
        <v>499</v>
      </c>
      <c r="E40" s="71" t="s">
        <v>500</v>
      </c>
      <c r="F40" s="71" t="s">
        <v>486</v>
      </c>
      <c r="G40" s="68">
        <v>46137</v>
      </c>
      <c r="H40" s="68">
        <v>46150</v>
      </c>
      <c r="I40" s="69">
        <v>158400</v>
      </c>
      <c r="J40" s="82"/>
      <c r="K40" s="70">
        <f t="shared" si="5"/>
        <v>158400</v>
      </c>
      <c r="L40" s="16" t="s">
        <v>89</v>
      </c>
      <c r="M40" s="67"/>
      <c r="N40" s="65"/>
    </row>
    <row r="41" spans="2:14" ht="15.75" x14ac:dyDescent="0.25">
      <c r="B41" s="67">
        <v>9</v>
      </c>
      <c r="C41" s="67"/>
      <c r="D41" s="55" t="s">
        <v>501</v>
      </c>
      <c r="E41" s="71" t="s">
        <v>491</v>
      </c>
      <c r="F41" s="71" t="s">
        <v>486</v>
      </c>
      <c r="G41" s="68">
        <v>46137</v>
      </c>
      <c r="H41" s="68">
        <v>46150</v>
      </c>
      <c r="I41" s="69">
        <v>52800</v>
      </c>
      <c r="J41" s="78"/>
      <c r="K41" s="70">
        <f t="shared" si="5"/>
        <v>52800</v>
      </c>
      <c r="L41" s="16" t="s">
        <v>89</v>
      </c>
      <c r="M41" s="67"/>
      <c r="N41" s="65"/>
    </row>
    <row r="42" spans="2:14" ht="15.75" x14ac:dyDescent="0.25">
      <c r="B42" s="67">
        <v>10</v>
      </c>
      <c r="C42" s="67"/>
      <c r="D42" s="55" t="s">
        <v>502</v>
      </c>
      <c r="E42" s="71" t="s">
        <v>503</v>
      </c>
      <c r="F42" s="71" t="s">
        <v>486</v>
      </c>
      <c r="G42" s="68">
        <v>46137</v>
      </c>
      <c r="H42" s="68">
        <v>46150</v>
      </c>
      <c r="I42" s="69">
        <v>158400</v>
      </c>
      <c r="J42" s="78"/>
      <c r="K42" s="70">
        <f t="shared" si="5"/>
        <v>158400</v>
      </c>
      <c r="L42" s="16" t="s">
        <v>89</v>
      </c>
      <c r="M42" s="67"/>
      <c r="N42" s="65"/>
    </row>
    <row r="43" spans="2:14" ht="15.75" x14ac:dyDescent="0.25">
      <c r="B43" s="67">
        <v>11</v>
      </c>
      <c r="C43" s="67"/>
      <c r="D43" s="55" t="s">
        <v>504</v>
      </c>
      <c r="E43" s="71" t="s">
        <v>398</v>
      </c>
      <c r="F43" s="71" t="s">
        <v>399</v>
      </c>
      <c r="G43" s="68">
        <v>46140</v>
      </c>
      <c r="H43" s="68">
        <v>46153</v>
      </c>
      <c r="I43" s="69">
        <v>144000</v>
      </c>
      <c r="J43" s="78"/>
      <c r="K43" s="70">
        <f t="shared" si="5"/>
        <v>144000</v>
      </c>
      <c r="L43" s="16" t="s">
        <v>89</v>
      </c>
      <c r="M43" s="67"/>
      <c r="N43" s="65"/>
    </row>
    <row r="44" spans="2:14" ht="15.75" x14ac:dyDescent="0.25">
      <c r="B44" s="157" t="s">
        <v>12</v>
      </c>
      <c r="C44" s="158"/>
      <c r="D44" s="158"/>
      <c r="E44" s="158"/>
      <c r="F44" s="158"/>
      <c r="G44" s="158"/>
      <c r="H44" s="158"/>
      <c r="I44" s="159"/>
      <c r="J44" s="60">
        <f>SUM(J33:J43)</f>
        <v>2686100</v>
      </c>
      <c r="K44" s="61">
        <f>SUM(K33:K43)</f>
        <v>1163100</v>
      </c>
      <c r="L44" s="62"/>
      <c r="M44" s="63">
        <f>SUM(K44+J44)</f>
        <v>3849200</v>
      </c>
      <c r="N44" s="64"/>
    </row>
    <row r="45" spans="2:14" x14ac:dyDescent="0.25">
      <c r="D45" s="42"/>
      <c r="I45" s="43"/>
      <c r="N45" s="44"/>
    </row>
    <row r="46" spans="2:14" x14ac:dyDescent="0.25">
      <c r="D46" s="42"/>
      <c r="I46" s="43"/>
      <c r="N46" s="44"/>
    </row>
    <row r="47" spans="2:14" ht="15.75" x14ac:dyDescent="0.25">
      <c r="D47" s="42"/>
      <c r="G47" s="150" t="s">
        <v>23</v>
      </c>
      <c r="H47" s="150"/>
      <c r="I47" s="150"/>
      <c r="J47" s="18">
        <f>SUM(J44+J31+J19)</f>
        <v>12952500</v>
      </c>
      <c r="K47" s="40">
        <f>SUM(K44+K31+K19)</f>
        <v>5012872</v>
      </c>
      <c r="L47" s="28"/>
      <c r="M47" s="28"/>
      <c r="N47" s="21">
        <f>SUM(J47+K47)</f>
        <v>17965372</v>
      </c>
    </row>
    <row r="48" spans="2:14" x14ac:dyDescent="0.25">
      <c r="D48" s="42"/>
      <c r="I48" s="43"/>
      <c r="N48" s="44"/>
    </row>
    <row r="49" spans="2:14" x14ac:dyDescent="0.25">
      <c r="B49" s="160" t="s">
        <v>24</v>
      </c>
      <c r="C49" s="160"/>
      <c r="D49" s="160"/>
      <c r="I49" s="43"/>
      <c r="N49" s="44"/>
    </row>
    <row r="50" spans="2:14" ht="15.75" x14ac:dyDescent="0.25">
      <c r="B50" s="154" t="s">
        <v>3</v>
      </c>
      <c r="C50" s="161" t="s">
        <v>25</v>
      </c>
      <c r="D50" s="154" t="s">
        <v>5</v>
      </c>
      <c r="E50" s="154" t="s">
        <v>6</v>
      </c>
      <c r="F50" s="154" t="s">
        <v>7</v>
      </c>
      <c r="G50" s="154" t="s">
        <v>8</v>
      </c>
      <c r="H50" s="154" t="s">
        <v>9</v>
      </c>
      <c r="I50" s="161" t="s">
        <v>26</v>
      </c>
      <c r="J50" s="143" t="s">
        <v>11</v>
      </c>
      <c r="K50" s="144"/>
      <c r="L50" s="170"/>
      <c r="M50" s="133" t="s">
        <v>12</v>
      </c>
      <c r="N50" s="154" t="s">
        <v>13</v>
      </c>
    </row>
    <row r="51" spans="2:14" ht="15.75" x14ac:dyDescent="0.25">
      <c r="B51" s="155"/>
      <c r="C51" s="162"/>
      <c r="D51" s="155"/>
      <c r="E51" s="155"/>
      <c r="F51" s="155"/>
      <c r="G51" s="155"/>
      <c r="H51" s="155"/>
      <c r="I51" s="162"/>
      <c r="J51" s="4" t="s">
        <v>14</v>
      </c>
      <c r="K51" s="5" t="s">
        <v>15</v>
      </c>
      <c r="L51" s="6" t="s">
        <v>16</v>
      </c>
      <c r="M51" s="134"/>
      <c r="N51" s="155"/>
    </row>
    <row r="52" spans="2:14" ht="15" customHeight="1" x14ac:dyDescent="0.25">
      <c r="B52" s="27">
        <v>1</v>
      </c>
      <c r="C52" s="31" t="s">
        <v>87</v>
      </c>
      <c r="D52" s="45" t="s">
        <v>505</v>
      </c>
      <c r="E52" s="46" t="s">
        <v>506</v>
      </c>
      <c r="F52" s="46" t="s">
        <v>399</v>
      </c>
      <c r="G52" s="47">
        <v>46150</v>
      </c>
      <c r="H52" s="47"/>
      <c r="I52" s="48">
        <v>1614500</v>
      </c>
      <c r="J52" s="49">
        <f>I52</f>
        <v>1614500</v>
      </c>
      <c r="K52" s="50"/>
      <c r="L52" s="16" t="s">
        <v>89</v>
      </c>
      <c r="M52" s="17"/>
      <c r="N52" s="17"/>
    </row>
    <row r="53" spans="2:14" ht="15" customHeight="1" x14ac:dyDescent="0.25">
      <c r="B53" s="27">
        <v>2</v>
      </c>
      <c r="C53" s="31" t="s">
        <v>87</v>
      </c>
      <c r="D53" s="51" t="s">
        <v>507</v>
      </c>
      <c r="E53" s="51" t="s">
        <v>508</v>
      </c>
      <c r="F53" s="17" t="s">
        <v>399</v>
      </c>
      <c r="G53" s="47">
        <v>46150</v>
      </c>
      <c r="H53" s="52"/>
      <c r="I53" s="16">
        <v>225600</v>
      </c>
      <c r="J53" s="49">
        <v>112800</v>
      </c>
      <c r="K53" s="50"/>
      <c r="L53" s="16" t="s">
        <v>89</v>
      </c>
      <c r="M53" s="17"/>
      <c r="N53" s="17"/>
    </row>
    <row r="54" spans="2:14" ht="15" customHeight="1" x14ac:dyDescent="0.25">
      <c r="B54" s="27">
        <v>3</v>
      </c>
      <c r="C54" s="31" t="s">
        <v>87</v>
      </c>
      <c r="D54" s="51" t="s">
        <v>509</v>
      </c>
      <c r="E54" s="51" t="s">
        <v>506</v>
      </c>
      <c r="F54" s="17" t="s">
        <v>399</v>
      </c>
      <c r="G54" s="47">
        <v>46150</v>
      </c>
      <c r="H54" s="52"/>
      <c r="I54" s="16">
        <v>57130</v>
      </c>
      <c r="J54" s="49"/>
      <c r="K54" s="15">
        <f>I54</f>
        <v>57130</v>
      </c>
      <c r="L54" s="16" t="s">
        <v>89</v>
      </c>
      <c r="M54" s="17"/>
      <c r="N54" s="17"/>
    </row>
    <row r="55" spans="2:14" ht="15" customHeight="1" x14ac:dyDescent="0.25">
      <c r="B55" s="27">
        <v>4</v>
      </c>
      <c r="C55" s="31" t="s">
        <v>87</v>
      </c>
      <c r="D55" s="51" t="s">
        <v>510</v>
      </c>
      <c r="E55" s="51" t="s">
        <v>511</v>
      </c>
      <c r="F55" s="17" t="s">
        <v>512</v>
      </c>
      <c r="G55" s="47">
        <v>46150</v>
      </c>
      <c r="H55" s="52"/>
      <c r="I55" s="16">
        <v>144000</v>
      </c>
      <c r="J55" s="49"/>
      <c r="K55" s="15">
        <f>I55</f>
        <v>144000</v>
      </c>
      <c r="L55" s="16" t="s">
        <v>89</v>
      </c>
      <c r="M55" s="17"/>
      <c r="N55" s="17"/>
    </row>
    <row r="56" spans="2:14" ht="15" customHeight="1" x14ac:dyDescent="0.25">
      <c r="B56" s="27">
        <v>5</v>
      </c>
      <c r="C56" s="31" t="s">
        <v>87</v>
      </c>
      <c r="D56" s="51" t="s">
        <v>513</v>
      </c>
      <c r="E56" s="51" t="s">
        <v>514</v>
      </c>
      <c r="F56" s="17" t="s">
        <v>399</v>
      </c>
      <c r="G56" s="47">
        <v>46150</v>
      </c>
      <c r="H56" s="52"/>
      <c r="I56" s="16">
        <v>551500</v>
      </c>
      <c r="J56" s="49">
        <f t="shared" ref="J56:J63" si="6">I56</f>
        <v>551500</v>
      </c>
      <c r="K56" s="50"/>
      <c r="L56" s="16" t="s">
        <v>89</v>
      </c>
      <c r="M56" s="17"/>
      <c r="N56" s="17"/>
    </row>
    <row r="57" spans="2:14" ht="15" customHeight="1" x14ac:dyDescent="0.25">
      <c r="B57" s="27">
        <v>6</v>
      </c>
      <c r="C57" s="8" t="s">
        <v>234</v>
      </c>
      <c r="D57" s="51" t="s">
        <v>521</v>
      </c>
      <c r="E57" s="51" t="s">
        <v>381</v>
      </c>
      <c r="F57" s="17" t="s">
        <v>382</v>
      </c>
      <c r="G57" s="47">
        <v>46150</v>
      </c>
      <c r="H57" s="52"/>
      <c r="I57" s="16">
        <v>756100</v>
      </c>
      <c r="J57" s="49">
        <f t="shared" si="6"/>
        <v>756100</v>
      </c>
      <c r="K57" s="50"/>
      <c r="L57" s="16" t="s">
        <v>89</v>
      </c>
      <c r="M57" s="17"/>
      <c r="N57" s="17"/>
    </row>
    <row r="58" spans="2:14" ht="15" customHeight="1" x14ac:dyDescent="0.25">
      <c r="B58" s="27">
        <v>7</v>
      </c>
      <c r="C58" s="8" t="s">
        <v>234</v>
      </c>
      <c r="D58" s="51" t="s">
        <v>522</v>
      </c>
      <c r="E58" s="51" t="s">
        <v>523</v>
      </c>
      <c r="F58" s="17" t="s">
        <v>382</v>
      </c>
      <c r="G58" s="47">
        <v>46150</v>
      </c>
      <c r="H58" s="52"/>
      <c r="I58" s="16">
        <v>215100</v>
      </c>
      <c r="J58" s="49">
        <f t="shared" si="6"/>
        <v>215100</v>
      </c>
      <c r="K58" s="50"/>
      <c r="L58" s="16" t="s">
        <v>89</v>
      </c>
      <c r="M58" s="17"/>
      <c r="N58" s="17"/>
    </row>
    <row r="59" spans="2:14" ht="15" customHeight="1" x14ac:dyDescent="0.25">
      <c r="B59" s="27">
        <v>8</v>
      </c>
      <c r="C59" s="8" t="s">
        <v>234</v>
      </c>
      <c r="D59" s="51" t="s">
        <v>524</v>
      </c>
      <c r="E59" s="51" t="s">
        <v>525</v>
      </c>
      <c r="F59" s="17" t="s">
        <v>77</v>
      </c>
      <c r="G59" s="47">
        <v>46150</v>
      </c>
      <c r="H59" s="52"/>
      <c r="I59" s="16">
        <v>430200</v>
      </c>
      <c r="J59" s="49">
        <f t="shared" si="6"/>
        <v>430200</v>
      </c>
      <c r="K59" s="50"/>
      <c r="L59" s="16" t="s">
        <v>89</v>
      </c>
      <c r="M59" s="17"/>
      <c r="N59" s="17"/>
    </row>
    <row r="60" spans="2:14" ht="15" customHeight="1" x14ac:dyDescent="0.25">
      <c r="B60" s="27">
        <v>9</v>
      </c>
      <c r="C60" s="8" t="s">
        <v>234</v>
      </c>
      <c r="D60" s="51" t="s">
        <v>526</v>
      </c>
      <c r="E60" s="51" t="s">
        <v>527</v>
      </c>
      <c r="F60" s="17" t="s">
        <v>77</v>
      </c>
      <c r="G60" s="47">
        <v>46150</v>
      </c>
      <c r="H60" s="52"/>
      <c r="I60" s="16">
        <v>112800</v>
      </c>
      <c r="J60" s="49">
        <f t="shared" si="6"/>
        <v>112800</v>
      </c>
      <c r="K60" s="50"/>
      <c r="L60" s="16" t="s">
        <v>89</v>
      </c>
      <c r="M60" s="17"/>
      <c r="N60" s="17"/>
    </row>
    <row r="61" spans="2:14" ht="15" customHeight="1" x14ac:dyDescent="0.25">
      <c r="B61" s="27">
        <v>10</v>
      </c>
      <c r="C61" s="8" t="s">
        <v>234</v>
      </c>
      <c r="D61" s="51" t="s">
        <v>528</v>
      </c>
      <c r="E61" s="51" t="s">
        <v>529</v>
      </c>
      <c r="F61" s="17" t="s">
        <v>376</v>
      </c>
      <c r="G61" s="47">
        <v>46150</v>
      </c>
      <c r="H61" s="52"/>
      <c r="I61" s="16">
        <v>1063000</v>
      </c>
      <c r="J61" s="49">
        <f t="shared" si="6"/>
        <v>1063000</v>
      </c>
      <c r="K61" s="50"/>
      <c r="L61" s="16" t="s">
        <v>89</v>
      </c>
      <c r="M61" s="17"/>
      <c r="N61" s="17"/>
    </row>
    <row r="62" spans="2:14" ht="15" customHeight="1" x14ac:dyDescent="0.25">
      <c r="B62" s="27">
        <v>11</v>
      </c>
      <c r="C62" s="8" t="s">
        <v>234</v>
      </c>
      <c r="D62" s="51" t="s">
        <v>530</v>
      </c>
      <c r="E62" s="51" t="s">
        <v>386</v>
      </c>
      <c r="F62" s="17" t="s">
        <v>376</v>
      </c>
      <c r="G62" s="47">
        <v>46150</v>
      </c>
      <c r="H62" s="52"/>
      <c r="I62" s="16">
        <v>551500</v>
      </c>
      <c r="J62" s="49">
        <f t="shared" si="6"/>
        <v>551500</v>
      </c>
      <c r="K62" s="50"/>
      <c r="L62" s="16" t="s">
        <v>89</v>
      </c>
      <c r="M62" s="17"/>
      <c r="N62" s="17"/>
    </row>
    <row r="63" spans="2:14" ht="15" customHeight="1" x14ac:dyDescent="0.25">
      <c r="B63" s="27">
        <v>12</v>
      </c>
      <c r="C63" s="8" t="s">
        <v>234</v>
      </c>
      <c r="D63" s="51" t="s">
        <v>531</v>
      </c>
      <c r="E63" s="51" t="s">
        <v>532</v>
      </c>
      <c r="F63" s="17" t="s">
        <v>376</v>
      </c>
      <c r="G63" s="47">
        <v>46150</v>
      </c>
      <c r="H63" s="52"/>
      <c r="I63" s="16">
        <v>756100</v>
      </c>
      <c r="J63" s="49">
        <f t="shared" si="6"/>
        <v>756100</v>
      </c>
      <c r="K63" s="50"/>
      <c r="L63" s="16" t="s">
        <v>89</v>
      </c>
      <c r="M63" s="17"/>
      <c r="N63" s="17"/>
    </row>
    <row r="64" spans="2:14" ht="15" customHeight="1" x14ac:dyDescent="0.25">
      <c r="B64" s="27">
        <v>13</v>
      </c>
      <c r="C64" s="8" t="s">
        <v>234</v>
      </c>
      <c r="D64" s="51" t="s">
        <v>535</v>
      </c>
      <c r="E64" s="51" t="s">
        <v>173</v>
      </c>
      <c r="F64" s="17" t="s">
        <v>174</v>
      </c>
      <c r="G64" s="47">
        <v>46150</v>
      </c>
      <c r="H64" s="52"/>
      <c r="I64" s="16">
        <v>215100</v>
      </c>
      <c r="J64" s="49">
        <f>I64</f>
        <v>215100</v>
      </c>
      <c r="K64" s="15"/>
      <c r="L64" s="16"/>
      <c r="M64" s="17"/>
      <c r="N64" s="17"/>
    </row>
    <row r="65" spans="2:14" ht="15" customHeight="1" x14ac:dyDescent="0.25">
      <c r="B65" s="27">
        <v>7</v>
      </c>
      <c r="C65" s="31"/>
      <c r="D65" s="51"/>
      <c r="E65" s="51"/>
      <c r="F65" s="17"/>
      <c r="G65" s="47"/>
      <c r="H65" s="52"/>
      <c r="I65" s="16"/>
      <c r="J65" s="49" t="s">
        <v>90</v>
      </c>
      <c r="K65" s="50"/>
      <c r="L65" s="16"/>
      <c r="M65" s="17"/>
      <c r="N65" s="17"/>
    </row>
    <row r="66" spans="2:14" ht="15.75" x14ac:dyDescent="0.25">
      <c r="B66" s="122" t="s">
        <v>27</v>
      </c>
      <c r="C66" s="123"/>
      <c r="D66" s="123"/>
      <c r="E66" s="123"/>
      <c r="F66" s="123"/>
      <c r="G66" s="123"/>
      <c r="H66" s="123"/>
      <c r="I66" s="124"/>
      <c r="J66" s="39">
        <f>SUM(J52:J65)</f>
        <v>6378700</v>
      </c>
      <c r="K66" s="40">
        <f>SUM(K52:K65)</f>
        <v>201130</v>
      </c>
      <c r="L66" s="28"/>
      <c r="M66" s="41">
        <f>SUM(J66+K66)</f>
        <v>6579830</v>
      </c>
      <c r="N66" s="53"/>
    </row>
    <row r="67" spans="2:14" ht="15.75" x14ac:dyDescent="0.25"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63"/>
    </row>
    <row r="68" spans="2:14" x14ac:dyDescent="0.25">
      <c r="B68" s="55">
        <v>1</v>
      </c>
      <c r="C68" s="8" t="s">
        <v>146</v>
      </c>
      <c r="D68" s="51" t="s">
        <v>515</v>
      </c>
      <c r="E68" s="51" t="s">
        <v>516</v>
      </c>
      <c r="F68" s="17" t="s">
        <v>517</v>
      </c>
      <c r="G68" s="47">
        <v>46150</v>
      </c>
      <c r="H68" s="52"/>
      <c r="I68" s="16">
        <v>327900</v>
      </c>
      <c r="J68" s="49">
        <f>I68</f>
        <v>327900</v>
      </c>
      <c r="K68" s="50"/>
      <c r="L68" s="16" t="s">
        <v>89</v>
      </c>
      <c r="M68" s="17"/>
      <c r="N68" s="17"/>
    </row>
    <row r="69" spans="2:14" x14ac:dyDescent="0.25">
      <c r="B69" s="55">
        <v>2</v>
      </c>
      <c r="C69" s="8" t="s">
        <v>146</v>
      </c>
      <c r="D69" s="51" t="s">
        <v>518</v>
      </c>
      <c r="E69" s="51" t="s">
        <v>516</v>
      </c>
      <c r="F69" s="17" t="s">
        <v>517</v>
      </c>
      <c r="G69" s="47">
        <v>46150</v>
      </c>
      <c r="H69" s="52"/>
      <c r="I69" s="16">
        <v>78000</v>
      </c>
      <c r="J69" s="49"/>
      <c r="K69" s="15">
        <f>I69</f>
        <v>78000</v>
      </c>
      <c r="L69" s="16" t="s">
        <v>89</v>
      </c>
      <c r="M69" s="17"/>
      <c r="N69" s="17"/>
    </row>
    <row r="70" spans="2:14" x14ac:dyDescent="0.25">
      <c r="B70" s="55">
        <v>3</v>
      </c>
      <c r="C70" s="8" t="s">
        <v>146</v>
      </c>
      <c r="D70" s="51" t="s">
        <v>519</v>
      </c>
      <c r="E70" s="51" t="s">
        <v>520</v>
      </c>
      <c r="F70" s="17" t="s">
        <v>257</v>
      </c>
      <c r="G70" s="47">
        <v>46150</v>
      </c>
      <c r="H70" s="52"/>
      <c r="I70" s="16">
        <v>435000</v>
      </c>
      <c r="J70" s="49"/>
      <c r="K70" s="15">
        <f>I70</f>
        <v>435000</v>
      </c>
      <c r="L70" s="16" t="s">
        <v>89</v>
      </c>
      <c r="M70" s="17"/>
      <c r="N70" s="17"/>
    </row>
    <row r="71" spans="2:14" x14ac:dyDescent="0.25">
      <c r="B71" s="55">
        <v>4</v>
      </c>
      <c r="C71" s="8" t="s">
        <v>88</v>
      </c>
      <c r="D71" s="51" t="s">
        <v>533</v>
      </c>
      <c r="E71" s="51" t="s">
        <v>534</v>
      </c>
      <c r="F71" s="17" t="s">
        <v>230</v>
      </c>
      <c r="G71" s="47">
        <v>46150</v>
      </c>
      <c r="H71" s="52"/>
      <c r="I71" s="16">
        <v>215100</v>
      </c>
      <c r="J71" s="49">
        <f t="shared" ref="J71" si="7">I71</f>
        <v>215100</v>
      </c>
      <c r="K71" s="50"/>
      <c r="L71" s="16" t="s">
        <v>89</v>
      </c>
      <c r="M71" s="17"/>
      <c r="N71" s="17"/>
    </row>
    <row r="72" spans="2:14" ht="15.75" x14ac:dyDescent="0.25">
      <c r="B72" s="122" t="s">
        <v>27</v>
      </c>
      <c r="C72" s="123"/>
      <c r="D72" s="123"/>
      <c r="E72" s="123"/>
      <c r="F72" s="123"/>
      <c r="G72" s="123"/>
      <c r="H72" s="123"/>
      <c r="I72" s="124"/>
      <c r="J72" s="39">
        <f>SUM(J68:J71)</f>
        <v>543000</v>
      </c>
      <c r="K72" s="40">
        <f>SUM(K68:K71)</f>
        <v>513000</v>
      </c>
      <c r="L72" s="28"/>
      <c r="M72" s="41">
        <f>SUM(J72+K72)</f>
        <v>1056000</v>
      </c>
      <c r="N72" s="53"/>
    </row>
    <row r="73" spans="2:14" x14ac:dyDescent="0.25">
      <c r="D73" s="42"/>
      <c r="I73" s="43"/>
    </row>
    <row r="74" spans="2:14" ht="15.75" x14ac:dyDescent="0.25">
      <c r="D74" s="42"/>
      <c r="H74" s="122" t="s">
        <v>28</v>
      </c>
      <c r="I74" s="124"/>
      <c r="J74" s="39">
        <f>SUM(J72+J66)</f>
        <v>6921700</v>
      </c>
      <c r="K74" s="40">
        <f>SUM(K72+K66)</f>
        <v>714130</v>
      </c>
      <c r="L74" s="28"/>
      <c r="M74" s="54"/>
      <c r="N74" s="21">
        <f>SUM(M72+M66)</f>
        <v>7635830</v>
      </c>
    </row>
    <row r="75" spans="2:14" x14ac:dyDescent="0.25">
      <c r="D75" s="42"/>
      <c r="I75" s="43"/>
    </row>
    <row r="76" spans="2:14" x14ac:dyDescent="0.25">
      <c r="D76" s="42"/>
      <c r="H76" s="125" t="s">
        <v>29</v>
      </c>
      <c r="I76" s="126"/>
      <c r="J76" s="56" t="s">
        <v>14</v>
      </c>
      <c r="K76" s="57" t="s">
        <v>15</v>
      </c>
      <c r="L76" s="17"/>
      <c r="M76" s="17"/>
      <c r="N76" s="17"/>
    </row>
    <row r="77" spans="2:14" ht="15.75" x14ac:dyDescent="0.25">
      <c r="D77" s="42"/>
      <c r="H77" s="129"/>
      <c r="I77" s="130"/>
      <c r="J77" s="39">
        <f>SUM(J74+J47)</f>
        <v>19874200</v>
      </c>
      <c r="K77" s="40">
        <f>SUM(K74+K47)</f>
        <v>5727002</v>
      </c>
      <c r="L77" s="28"/>
      <c r="M77" s="28"/>
      <c r="N77" s="58">
        <f>SUM(K77+J77)</f>
        <v>25601202</v>
      </c>
    </row>
    <row r="78" spans="2:14" x14ac:dyDescent="0.25">
      <c r="D78" s="42"/>
      <c r="I78" s="43"/>
      <c r="N78" s="59"/>
    </row>
    <row r="79" spans="2:14" x14ac:dyDescent="0.25">
      <c r="D79" s="2" t="s">
        <v>30</v>
      </c>
      <c r="E79" s="1"/>
      <c r="F79" s="1"/>
      <c r="G79" s="1"/>
      <c r="H79" s="1"/>
      <c r="I79" s="1"/>
      <c r="J79" s="1"/>
    </row>
    <row r="80" spans="2:14" x14ac:dyDescent="0.25">
      <c r="D80" s="2"/>
      <c r="E80" s="1"/>
      <c r="F80" s="1"/>
      <c r="G80" s="1"/>
      <c r="H80" s="1"/>
      <c r="I80" s="1"/>
      <c r="J80" s="1"/>
    </row>
    <row r="81" spans="4:10" x14ac:dyDescent="0.25">
      <c r="D81" s="3" t="s">
        <v>31</v>
      </c>
      <c r="E81" s="3"/>
      <c r="F81" s="3" t="s">
        <v>32</v>
      </c>
      <c r="G81" s="3"/>
      <c r="H81" s="3" t="s">
        <v>33</v>
      </c>
      <c r="I81" s="3"/>
      <c r="J81" s="3" t="s">
        <v>34</v>
      </c>
    </row>
    <row r="82" spans="4:10" x14ac:dyDescent="0.25">
      <c r="D82" s="3"/>
      <c r="E82" s="3"/>
      <c r="F82" s="3"/>
      <c r="G82" s="3"/>
      <c r="H82" s="3"/>
      <c r="I82" s="3"/>
      <c r="J82" s="3"/>
    </row>
    <row r="83" spans="4:10" x14ac:dyDescent="0.25">
      <c r="D83" s="3"/>
      <c r="E83" s="3"/>
      <c r="F83" s="3"/>
      <c r="G83" s="3"/>
      <c r="H83" s="3"/>
      <c r="I83" s="3"/>
      <c r="J83" s="3"/>
    </row>
    <row r="84" spans="4:10" x14ac:dyDescent="0.25">
      <c r="D84" s="3"/>
      <c r="E84" s="3"/>
      <c r="F84" s="3"/>
      <c r="G84" s="3"/>
      <c r="H84" s="3"/>
      <c r="I84" s="3"/>
      <c r="J84" s="3"/>
    </row>
    <row r="85" spans="4:10" x14ac:dyDescent="0.25">
      <c r="D85" s="3" t="s">
        <v>35</v>
      </c>
      <c r="E85" s="3"/>
      <c r="F85" s="3" t="s">
        <v>36</v>
      </c>
      <c r="G85" s="3"/>
      <c r="H85" s="3" t="s">
        <v>36</v>
      </c>
      <c r="I85" s="3"/>
      <c r="J85" s="3" t="s">
        <v>37</v>
      </c>
    </row>
    <row r="86" spans="4:10" x14ac:dyDescent="0.25">
      <c r="D86" s="42"/>
    </row>
    <row r="87" spans="4:10" x14ac:dyDescent="0.25">
      <c r="D87" s="42"/>
    </row>
    <row r="88" spans="4:10" x14ac:dyDescent="0.25">
      <c r="D88" s="42"/>
    </row>
    <row r="89" spans="4:10" x14ac:dyDescent="0.25">
      <c r="D89" s="42"/>
    </row>
    <row r="90" spans="4:10" x14ac:dyDescent="0.25">
      <c r="D90" s="42"/>
    </row>
  </sheetData>
  <mergeCells count="37">
    <mergeCell ref="B49:D49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9:I19"/>
    <mergeCell ref="B20:N20"/>
    <mergeCell ref="B31:I31"/>
    <mergeCell ref="B32:N32"/>
    <mergeCell ref="G47:I47"/>
    <mergeCell ref="B44:I44"/>
    <mergeCell ref="H76:I77"/>
    <mergeCell ref="N50:N51"/>
    <mergeCell ref="B66:I66"/>
    <mergeCell ref="B67:N67"/>
    <mergeCell ref="B72:I72"/>
    <mergeCell ref="H74:I74"/>
    <mergeCell ref="G50:G51"/>
    <mergeCell ref="H50:H51"/>
    <mergeCell ref="I50:I51"/>
    <mergeCell ref="J50:L50"/>
    <mergeCell ref="M50:M51"/>
    <mergeCell ref="B50:B51"/>
    <mergeCell ref="C50:C51"/>
    <mergeCell ref="D50:D51"/>
    <mergeCell ref="E50:E51"/>
    <mergeCell ref="F50:F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41A0-E4FB-4A78-92D8-5129415225CD}">
  <dimension ref="A1:P62"/>
  <sheetViews>
    <sheetView topLeftCell="A28" workbookViewId="0">
      <selection activeCell="I18" sqref="I18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1" spans="1:16" x14ac:dyDescent="0.25">
      <c r="A1" t="s">
        <v>536</v>
      </c>
    </row>
    <row r="2" spans="1:16" x14ac:dyDescent="0.25">
      <c r="B2" s="1" t="s">
        <v>0</v>
      </c>
    </row>
    <row r="3" spans="1:16" x14ac:dyDescent="0.25">
      <c r="B3" s="152" t="s">
        <v>1</v>
      </c>
      <c r="C3" s="152"/>
      <c r="D3" s="152"/>
    </row>
    <row r="4" spans="1:16" x14ac:dyDescent="0.25">
      <c r="J4" s="1"/>
      <c r="K4" s="149" t="s">
        <v>578</v>
      </c>
      <c r="L4" s="149"/>
      <c r="M4" s="149"/>
      <c r="N4" s="149"/>
    </row>
    <row r="5" spans="1:16" x14ac:dyDescent="0.25">
      <c r="B5" s="153" t="s">
        <v>2</v>
      </c>
      <c r="C5" s="153"/>
      <c r="D5" s="153"/>
      <c r="P5" t="s">
        <v>90</v>
      </c>
    </row>
    <row r="6" spans="1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1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1:16" x14ac:dyDescent="0.25">
      <c r="B8" s="7">
        <v>1</v>
      </c>
      <c r="C8" s="8" t="s">
        <v>17</v>
      </c>
      <c r="D8" s="9" t="s">
        <v>537</v>
      </c>
      <c r="E8" s="10" t="s">
        <v>538</v>
      </c>
      <c r="F8" s="11" t="s">
        <v>539</v>
      </c>
      <c r="G8" s="12">
        <v>46139</v>
      </c>
      <c r="H8" s="12">
        <v>46151</v>
      </c>
      <c r="I8" s="13">
        <v>1075500</v>
      </c>
      <c r="J8" s="14">
        <v>575500</v>
      </c>
      <c r="K8" s="15"/>
      <c r="L8" s="16" t="s">
        <v>235</v>
      </c>
      <c r="M8" s="16"/>
      <c r="N8" s="17"/>
    </row>
    <row r="9" spans="1:16" x14ac:dyDescent="0.25">
      <c r="B9" s="7">
        <v>2</v>
      </c>
      <c r="C9" s="8"/>
      <c r="D9" s="9" t="s">
        <v>540</v>
      </c>
      <c r="E9" s="10" t="s">
        <v>541</v>
      </c>
      <c r="F9" s="11" t="s">
        <v>542</v>
      </c>
      <c r="G9" s="12">
        <v>46139</v>
      </c>
      <c r="H9" s="12">
        <v>46151</v>
      </c>
      <c r="I9" s="13">
        <v>1532700</v>
      </c>
      <c r="J9" s="14">
        <f t="shared" ref="J9" si="0">I9</f>
        <v>1532700</v>
      </c>
      <c r="K9" s="15"/>
      <c r="L9" s="16" t="s">
        <v>89</v>
      </c>
      <c r="M9" s="16"/>
      <c r="N9" s="17"/>
    </row>
    <row r="10" spans="1:16" x14ac:dyDescent="0.25">
      <c r="B10" s="7">
        <v>3</v>
      </c>
      <c r="C10" s="8"/>
      <c r="D10" s="9" t="s">
        <v>543</v>
      </c>
      <c r="E10" s="10" t="s">
        <v>544</v>
      </c>
      <c r="F10" s="11" t="s">
        <v>542</v>
      </c>
      <c r="G10" s="12">
        <v>46139</v>
      </c>
      <c r="H10" s="12">
        <v>46151</v>
      </c>
      <c r="I10" s="13">
        <v>1075500</v>
      </c>
      <c r="J10" s="14">
        <v>575500</v>
      </c>
      <c r="K10" s="15"/>
      <c r="L10" s="16" t="s">
        <v>235</v>
      </c>
      <c r="M10" s="16"/>
      <c r="N10" s="17"/>
    </row>
    <row r="11" spans="1:16" x14ac:dyDescent="0.25">
      <c r="B11" s="7">
        <v>4</v>
      </c>
      <c r="C11" s="8"/>
      <c r="D11" s="9" t="s">
        <v>545</v>
      </c>
      <c r="E11" s="10" t="s">
        <v>546</v>
      </c>
      <c r="F11" s="11" t="s">
        <v>547</v>
      </c>
      <c r="G11" s="12">
        <v>46125</v>
      </c>
      <c r="H11" s="12">
        <v>46137</v>
      </c>
      <c r="I11" s="13">
        <v>252700</v>
      </c>
      <c r="J11" s="14"/>
      <c r="K11" s="15">
        <f t="shared" ref="K11:K13" si="1">I11</f>
        <v>252700</v>
      </c>
      <c r="L11" s="16" t="s">
        <v>89</v>
      </c>
      <c r="M11" s="16"/>
      <c r="N11" s="17"/>
    </row>
    <row r="12" spans="1:16" x14ac:dyDescent="0.25">
      <c r="B12" s="7">
        <v>5</v>
      </c>
      <c r="C12" s="8"/>
      <c r="D12" s="9" t="s">
        <v>548</v>
      </c>
      <c r="E12" s="10" t="s">
        <v>541</v>
      </c>
      <c r="F12" s="11" t="s">
        <v>542</v>
      </c>
      <c r="G12" s="12">
        <v>46139</v>
      </c>
      <c r="H12" s="12">
        <v>46151</v>
      </c>
      <c r="I12" s="13">
        <v>184200</v>
      </c>
      <c r="J12" s="14"/>
      <c r="K12" s="15">
        <f t="shared" si="1"/>
        <v>184200</v>
      </c>
      <c r="L12" s="16" t="s">
        <v>89</v>
      </c>
      <c r="M12" s="16"/>
      <c r="N12" s="17"/>
    </row>
    <row r="13" spans="1:16" x14ac:dyDescent="0.25">
      <c r="B13" s="7">
        <v>6</v>
      </c>
      <c r="C13" s="8"/>
      <c r="D13" s="9" t="s">
        <v>549</v>
      </c>
      <c r="E13" s="10" t="s">
        <v>550</v>
      </c>
      <c r="F13" s="11" t="s">
        <v>551</v>
      </c>
      <c r="G13" s="12">
        <v>46139</v>
      </c>
      <c r="H13" s="12">
        <v>46151</v>
      </c>
      <c r="I13" s="13">
        <v>1411200</v>
      </c>
      <c r="J13" s="14"/>
      <c r="K13" s="15">
        <f t="shared" si="1"/>
        <v>1411200</v>
      </c>
      <c r="L13" s="16" t="s">
        <v>89</v>
      </c>
      <c r="M13" s="16"/>
      <c r="N13" s="17"/>
    </row>
    <row r="14" spans="1:16" ht="15.75" x14ac:dyDescent="0.25">
      <c r="B14" s="122" t="s">
        <v>12</v>
      </c>
      <c r="C14" s="123"/>
      <c r="D14" s="123"/>
      <c r="E14" s="123"/>
      <c r="F14" s="123"/>
      <c r="G14" s="123"/>
      <c r="H14" s="123"/>
      <c r="I14" s="124"/>
      <c r="J14" s="18">
        <f>SUM(J8:J13)</f>
        <v>2683700</v>
      </c>
      <c r="K14" s="19">
        <f>SUM(K8:K13)</f>
        <v>1848100</v>
      </c>
      <c r="L14" s="20"/>
      <c r="M14" s="21">
        <f>SUM(J14+K14)</f>
        <v>4531800</v>
      </c>
      <c r="N14" s="21"/>
    </row>
    <row r="15" spans="1:16" ht="15.75" x14ac:dyDescent="0.25">
      <c r="B15" s="141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72"/>
    </row>
    <row r="16" spans="1:16" x14ac:dyDescent="0.25">
      <c r="B16" s="7">
        <v>1</v>
      </c>
      <c r="C16" s="22" t="s">
        <v>21</v>
      </c>
      <c r="D16" s="9" t="s">
        <v>555</v>
      </c>
      <c r="E16" s="23" t="s">
        <v>534</v>
      </c>
      <c r="F16" s="24" t="s">
        <v>230</v>
      </c>
      <c r="G16" s="25">
        <v>46148</v>
      </c>
      <c r="H16" s="25">
        <v>46161</v>
      </c>
      <c r="I16" s="26">
        <v>1075500</v>
      </c>
      <c r="J16" s="14">
        <f t="shared" ref="J16" si="2">I16</f>
        <v>1075500</v>
      </c>
      <c r="K16" s="15"/>
      <c r="L16" s="16" t="s">
        <v>89</v>
      </c>
      <c r="M16" s="16"/>
      <c r="N16" s="17"/>
    </row>
    <row r="17" spans="2:14" x14ac:dyDescent="0.25">
      <c r="B17" s="7">
        <v>2</v>
      </c>
      <c r="C17" s="22"/>
      <c r="D17" s="9" t="s">
        <v>556</v>
      </c>
      <c r="E17" s="23" t="s">
        <v>557</v>
      </c>
      <c r="F17" s="24" t="s">
        <v>552</v>
      </c>
      <c r="G17" s="25">
        <v>46139</v>
      </c>
      <c r="H17" s="25">
        <v>46151</v>
      </c>
      <c r="I17" s="26">
        <v>231000</v>
      </c>
      <c r="J17" s="14"/>
      <c r="K17" s="15">
        <f t="shared" ref="K17:K19" si="3">I17</f>
        <v>231000</v>
      </c>
      <c r="L17" s="16" t="s">
        <v>89</v>
      </c>
      <c r="M17" s="16"/>
      <c r="N17" s="17"/>
    </row>
    <row r="18" spans="2:14" x14ac:dyDescent="0.25">
      <c r="B18" s="7">
        <v>3</v>
      </c>
      <c r="C18" s="22"/>
      <c r="D18" s="9" t="s">
        <v>558</v>
      </c>
      <c r="E18" s="23" t="s">
        <v>553</v>
      </c>
      <c r="F18" s="24" t="s">
        <v>554</v>
      </c>
      <c r="G18" s="25">
        <v>46139</v>
      </c>
      <c r="H18" s="25">
        <v>46151</v>
      </c>
      <c r="I18" s="26">
        <v>288000</v>
      </c>
      <c r="J18" s="14"/>
      <c r="K18" s="15">
        <f t="shared" si="3"/>
        <v>288000</v>
      </c>
      <c r="L18" s="16" t="s">
        <v>89</v>
      </c>
      <c r="M18" s="16"/>
      <c r="N18" s="17"/>
    </row>
    <row r="19" spans="2:14" x14ac:dyDescent="0.25">
      <c r="B19" s="7">
        <v>4</v>
      </c>
      <c r="C19" s="22"/>
      <c r="D19" s="9" t="s">
        <v>559</v>
      </c>
      <c r="E19" s="23" t="s">
        <v>173</v>
      </c>
      <c r="F19" s="24" t="s">
        <v>174</v>
      </c>
      <c r="G19" s="25">
        <v>46139</v>
      </c>
      <c r="H19" s="25">
        <v>46151</v>
      </c>
      <c r="I19" s="26">
        <v>52800</v>
      </c>
      <c r="J19" s="14"/>
      <c r="K19" s="15">
        <f t="shared" si="3"/>
        <v>52800</v>
      </c>
      <c r="L19" s="16" t="s">
        <v>89</v>
      </c>
      <c r="M19" s="16"/>
      <c r="N19" s="17"/>
    </row>
    <row r="20" spans="2:14" ht="15.75" x14ac:dyDescent="0.25">
      <c r="B20" s="143" t="s">
        <v>12</v>
      </c>
      <c r="C20" s="144"/>
      <c r="D20" s="144"/>
      <c r="E20" s="144"/>
      <c r="F20" s="144"/>
      <c r="G20" s="144"/>
      <c r="H20" s="144"/>
      <c r="I20" s="170"/>
      <c r="J20" s="18">
        <f>SUM(J16:J19)</f>
        <v>1075500</v>
      </c>
      <c r="K20" s="19">
        <f>SUM(K16:K19)</f>
        <v>571800</v>
      </c>
      <c r="L20" s="28"/>
      <c r="M20" s="29">
        <f>SUM(J20+K20)</f>
        <v>1647300</v>
      </c>
      <c r="N20" s="21"/>
    </row>
    <row r="21" spans="2:14" ht="15.75" x14ac:dyDescent="0.25">
      <c r="B21" s="147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71"/>
    </row>
    <row r="22" spans="2:14" ht="15.75" x14ac:dyDescent="0.25">
      <c r="B22" s="67">
        <v>1</v>
      </c>
      <c r="C22" s="31" t="s">
        <v>22</v>
      </c>
      <c r="D22" s="55" t="s">
        <v>560</v>
      </c>
      <c r="E22" s="71" t="s">
        <v>439</v>
      </c>
      <c r="F22" s="71" t="s">
        <v>561</v>
      </c>
      <c r="G22" s="68">
        <v>46139</v>
      </c>
      <c r="H22" s="68">
        <v>46151</v>
      </c>
      <c r="I22" s="69">
        <v>645300</v>
      </c>
      <c r="J22" s="82">
        <f>I22</f>
        <v>645300</v>
      </c>
      <c r="K22" s="79"/>
      <c r="L22" s="16" t="s">
        <v>89</v>
      </c>
      <c r="M22" s="67"/>
      <c r="N22" s="65"/>
    </row>
    <row r="23" spans="2:14" ht="15.75" x14ac:dyDescent="0.25">
      <c r="B23" s="67">
        <v>2</v>
      </c>
      <c r="C23" s="67"/>
      <c r="D23" s="55" t="s">
        <v>562</v>
      </c>
      <c r="E23" s="71" t="s">
        <v>563</v>
      </c>
      <c r="F23" s="71" t="s">
        <v>564</v>
      </c>
      <c r="G23" s="68">
        <v>46139</v>
      </c>
      <c r="H23" s="68">
        <v>46151</v>
      </c>
      <c r="I23" s="69">
        <v>327900</v>
      </c>
      <c r="J23" s="82">
        <f t="shared" ref="J23:J26" si="4">I23</f>
        <v>327900</v>
      </c>
      <c r="K23" s="79"/>
      <c r="L23" s="16" t="s">
        <v>89</v>
      </c>
      <c r="M23" s="67"/>
      <c r="N23" s="65"/>
    </row>
    <row r="24" spans="2:14" ht="15.75" x14ac:dyDescent="0.25">
      <c r="B24" s="67">
        <v>3</v>
      </c>
      <c r="C24" s="67"/>
      <c r="D24" s="55" t="s">
        <v>565</v>
      </c>
      <c r="E24" s="71" t="s">
        <v>566</v>
      </c>
      <c r="F24" s="71" t="s">
        <v>567</v>
      </c>
      <c r="G24" s="68">
        <v>46139</v>
      </c>
      <c r="H24" s="68">
        <v>46151</v>
      </c>
      <c r="I24" s="69">
        <v>870900</v>
      </c>
      <c r="J24" s="82">
        <f t="shared" si="4"/>
        <v>870900</v>
      </c>
      <c r="K24" s="79"/>
      <c r="L24" s="16" t="s">
        <v>89</v>
      </c>
      <c r="M24" s="67"/>
      <c r="N24" s="65"/>
    </row>
    <row r="25" spans="2:14" ht="15.75" x14ac:dyDescent="0.25">
      <c r="B25" s="67">
        <v>4</v>
      </c>
      <c r="C25" s="67"/>
      <c r="D25" s="55" t="s">
        <v>568</v>
      </c>
      <c r="E25" s="71" t="s">
        <v>569</v>
      </c>
      <c r="F25" s="71" t="s">
        <v>570</v>
      </c>
      <c r="G25" s="68">
        <v>46139</v>
      </c>
      <c r="H25" s="68">
        <v>46151</v>
      </c>
      <c r="I25" s="69">
        <v>451200</v>
      </c>
      <c r="J25" s="82">
        <f t="shared" si="4"/>
        <v>451200</v>
      </c>
      <c r="K25" s="79"/>
      <c r="L25" s="16" t="s">
        <v>89</v>
      </c>
      <c r="M25" s="67"/>
      <c r="N25" s="65"/>
    </row>
    <row r="26" spans="2:14" ht="15.75" x14ac:dyDescent="0.25">
      <c r="B26" s="67">
        <v>5</v>
      </c>
      <c r="C26" s="67"/>
      <c r="D26" s="55" t="s">
        <v>571</v>
      </c>
      <c r="E26" s="71" t="s">
        <v>572</v>
      </c>
      <c r="F26" s="71" t="s">
        <v>573</v>
      </c>
      <c r="G26" s="68">
        <v>46139</v>
      </c>
      <c r="H26" s="68">
        <v>46151</v>
      </c>
      <c r="I26" s="69">
        <v>771600</v>
      </c>
      <c r="J26" s="82">
        <f t="shared" si="4"/>
        <v>771600</v>
      </c>
      <c r="K26" s="79"/>
      <c r="L26" s="16" t="s">
        <v>89</v>
      </c>
      <c r="M26" s="67"/>
      <c r="N26" s="65"/>
    </row>
    <row r="27" spans="2:14" ht="15.75" x14ac:dyDescent="0.25">
      <c r="B27" s="67">
        <v>6</v>
      </c>
      <c r="C27" s="67"/>
      <c r="D27" s="55" t="s">
        <v>574</v>
      </c>
      <c r="E27" s="71" t="s">
        <v>439</v>
      </c>
      <c r="F27" s="71" t="s">
        <v>561</v>
      </c>
      <c r="G27" s="68">
        <v>46139</v>
      </c>
      <c r="H27" s="68">
        <v>46151</v>
      </c>
      <c r="I27" s="69">
        <v>342780</v>
      </c>
      <c r="J27" s="78"/>
      <c r="K27" s="70">
        <f>I27</f>
        <v>342780</v>
      </c>
      <c r="L27" s="16" t="s">
        <v>89</v>
      </c>
      <c r="M27" s="67"/>
      <c r="N27" s="65"/>
    </row>
    <row r="28" spans="2:14" ht="15.75" x14ac:dyDescent="0.25">
      <c r="B28" s="157" t="s">
        <v>12</v>
      </c>
      <c r="C28" s="158"/>
      <c r="D28" s="158"/>
      <c r="E28" s="158"/>
      <c r="F28" s="158"/>
      <c r="G28" s="158"/>
      <c r="H28" s="158"/>
      <c r="I28" s="159"/>
      <c r="J28" s="60">
        <f>SUM(J22:J27)</f>
        <v>3066900</v>
      </c>
      <c r="K28" s="61">
        <f>SUM(K22:K27)</f>
        <v>342780</v>
      </c>
      <c r="L28" s="62"/>
      <c r="M28" s="63">
        <f>SUM(K28+J28)</f>
        <v>3409680</v>
      </c>
      <c r="N28" s="64"/>
    </row>
    <row r="29" spans="2:14" x14ac:dyDescent="0.25">
      <c r="D29" s="42"/>
      <c r="I29" s="43"/>
      <c r="N29" s="44"/>
    </row>
    <row r="30" spans="2:14" x14ac:dyDescent="0.25">
      <c r="D30" s="42"/>
      <c r="I30" s="43"/>
      <c r="N30" s="44"/>
    </row>
    <row r="31" spans="2:14" ht="15.75" x14ac:dyDescent="0.25">
      <c r="D31" s="42"/>
      <c r="G31" s="150" t="s">
        <v>23</v>
      </c>
      <c r="H31" s="150"/>
      <c r="I31" s="150"/>
      <c r="J31" s="18">
        <f>SUM(J28+J20+J14)</f>
        <v>6826100</v>
      </c>
      <c r="K31" s="40">
        <f>SUM(K28+K20+K14)</f>
        <v>2762680</v>
      </c>
      <c r="L31" s="28"/>
      <c r="M31" s="28"/>
      <c r="N31" s="21">
        <f>SUM(J31+K31)</f>
        <v>9588780</v>
      </c>
    </row>
    <row r="32" spans="2:14" x14ac:dyDescent="0.25">
      <c r="D32" s="42"/>
      <c r="I32" s="43"/>
      <c r="N32" s="44"/>
    </row>
    <row r="33" spans="2:14" x14ac:dyDescent="0.25">
      <c r="B33" s="160" t="s">
        <v>24</v>
      </c>
      <c r="C33" s="160"/>
      <c r="D33" s="160"/>
      <c r="I33" s="43"/>
      <c r="N33" s="44"/>
    </row>
    <row r="34" spans="2:14" ht="15.75" x14ac:dyDescent="0.25">
      <c r="B34" s="154" t="s">
        <v>3</v>
      </c>
      <c r="C34" s="161" t="s">
        <v>25</v>
      </c>
      <c r="D34" s="154" t="s">
        <v>5</v>
      </c>
      <c r="E34" s="154" t="s">
        <v>6</v>
      </c>
      <c r="F34" s="154" t="s">
        <v>7</v>
      </c>
      <c r="G34" s="154" t="s">
        <v>8</v>
      </c>
      <c r="H34" s="154" t="s">
        <v>9</v>
      </c>
      <c r="I34" s="161" t="s">
        <v>26</v>
      </c>
      <c r="J34" s="143" t="s">
        <v>11</v>
      </c>
      <c r="K34" s="144"/>
      <c r="L34" s="170"/>
      <c r="M34" s="133" t="s">
        <v>12</v>
      </c>
      <c r="N34" s="154" t="s">
        <v>13</v>
      </c>
    </row>
    <row r="35" spans="2:14" ht="15.75" x14ac:dyDescent="0.25">
      <c r="B35" s="155"/>
      <c r="C35" s="162"/>
      <c r="D35" s="155"/>
      <c r="E35" s="155"/>
      <c r="F35" s="155"/>
      <c r="G35" s="155"/>
      <c r="H35" s="155"/>
      <c r="I35" s="162"/>
      <c r="J35" s="4" t="s">
        <v>14</v>
      </c>
      <c r="K35" s="5" t="s">
        <v>15</v>
      </c>
      <c r="L35" s="6" t="s">
        <v>16</v>
      </c>
      <c r="M35" s="134"/>
      <c r="N35" s="155"/>
    </row>
    <row r="36" spans="2:14" ht="15" customHeight="1" x14ac:dyDescent="0.25">
      <c r="B36" s="27">
        <v>1</v>
      </c>
      <c r="C36" s="31" t="s">
        <v>87</v>
      </c>
      <c r="D36" s="51" t="s">
        <v>575</v>
      </c>
      <c r="E36" s="51" t="s">
        <v>576</v>
      </c>
      <c r="F36" s="17" t="s">
        <v>577</v>
      </c>
      <c r="G36" s="47">
        <v>46151</v>
      </c>
      <c r="H36" s="52"/>
      <c r="I36" s="16">
        <v>655800</v>
      </c>
      <c r="J36" s="49">
        <f>I36</f>
        <v>655800</v>
      </c>
      <c r="K36" s="50"/>
      <c r="L36" s="16" t="s">
        <v>89</v>
      </c>
      <c r="M36" s="17"/>
      <c r="N36" s="17"/>
    </row>
    <row r="37" spans="2:14" ht="15" customHeight="1" x14ac:dyDescent="0.25">
      <c r="B37" s="27">
        <v>2</v>
      </c>
      <c r="C37" s="31"/>
      <c r="D37" s="51"/>
      <c r="E37" s="51"/>
      <c r="F37" s="17"/>
      <c r="G37" s="47"/>
      <c r="H37" s="52"/>
      <c r="I37" s="16"/>
      <c r="J37" s="49"/>
      <c r="K37" s="50"/>
      <c r="L37" s="16"/>
      <c r="M37" s="17"/>
      <c r="N37" s="17"/>
    </row>
    <row r="38" spans="2:14" ht="15" customHeight="1" x14ac:dyDescent="0.25">
      <c r="B38" s="27">
        <v>3</v>
      </c>
      <c r="C38" s="31"/>
      <c r="D38" s="51"/>
      <c r="E38" s="51"/>
      <c r="F38" s="17"/>
      <c r="G38" s="47"/>
      <c r="H38" s="52"/>
      <c r="I38" s="16"/>
      <c r="J38" s="49"/>
      <c r="K38" s="50"/>
      <c r="L38" s="16"/>
      <c r="M38" s="17"/>
      <c r="N38" s="17"/>
    </row>
    <row r="39" spans="2:14" ht="15.75" x14ac:dyDescent="0.25">
      <c r="B39" s="122" t="s">
        <v>27</v>
      </c>
      <c r="C39" s="123"/>
      <c r="D39" s="123"/>
      <c r="E39" s="123"/>
      <c r="F39" s="123"/>
      <c r="G39" s="123"/>
      <c r="H39" s="123"/>
      <c r="I39" s="124"/>
      <c r="J39" s="39">
        <f>SUM(J36:J38)</f>
        <v>655800</v>
      </c>
      <c r="K39" s="40">
        <f>SUM(K36:K38)</f>
        <v>0</v>
      </c>
      <c r="L39" s="28"/>
      <c r="M39" s="41">
        <f>SUM(J39+K39)</f>
        <v>655800</v>
      </c>
      <c r="N39" s="53"/>
    </row>
    <row r="40" spans="2:14" ht="15.75" hidden="1" x14ac:dyDescent="0.25">
      <c r="B40" s="139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63"/>
    </row>
    <row r="41" spans="2:14" hidden="1" x14ac:dyDescent="0.25">
      <c r="B41" s="55">
        <v>1</v>
      </c>
      <c r="C41" s="8"/>
      <c r="D41" s="51"/>
      <c r="E41" s="51"/>
      <c r="F41" s="17"/>
      <c r="G41" s="47"/>
      <c r="H41" s="52"/>
      <c r="I41" s="16"/>
      <c r="J41" s="49"/>
      <c r="K41" s="50"/>
      <c r="L41" s="16"/>
      <c r="M41" s="17"/>
      <c r="N41" s="17"/>
    </row>
    <row r="42" spans="2:14" hidden="1" x14ac:dyDescent="0.25">
      <c r="B42" s="55">
        <v>2</v>
      </c>
      <c r="C42" s="8"/>
      <c r="D42" s="51"/>
      <c r="E42" s="51"/>
      <c r="F42" s="17"/>
      <c r="G42" s="47"/>
      <c r="H42" s="52"/>
      <c r="I42" s="16"/>
      <c r="J42" s="49"/>
      <c r="K42" s="15"/>
      <c r="L42" s="16"/>
      <c r="M42" s="17"/>
      <c r="N42" s="17"/>
    </row>
    <row r="43" spans="2:14" hidden="1" x14ac:dyDescent="0.25">
      <c r="B43" s="55">
        <v>3</v>
      </c>
      <c r="C43" s="8"/>
      <c r="D43" s="51"/>
      <c r="E43" s="51"/>
      <c r="F43" s="17"/>
      <c r="G43" s="47"/>
      <c r="H43" s="52"/>
      <c r="I43" s="16"/>
      <c r="J43" s="49"/>
      <c r="K43" s="50"/>
      <c r="L43" s="16"/>
      <c r="M43" s="17"/>
      <c r="N43" s="17"/>
    </row>
    <row r="44" spans="2:14" ht="15.75" hidden="1" x14ac:dyDescent="0.25">
      <c r="B44" s="122" t="s">
        <v>27</v>
      </c>
      <c r="C44" s="123"/>
      <c r="D44" s="123"/>
      <c r="E44" s="123"/>
      <c r="F44" s="123"/>
      <c r="G44" s="123"/>
      <c r="H44" s="123"/>
      <c r="I44" s="124"/>
      <c r="J44" s="39">
        <f>SUM(J41:J43)</f>
        <v>0</v>
      </c>
      <c r="K44" s="40">
        <f>SUM(K41:K43)</f>
        <v>0</v>
      </c>
      <c r="L44" s="28"/>
      <c r="M44" s="41">
        <f>SUM(J44+K44)</f>
        <v>0</v>
      </c>
      <c r="N44" s="53"/>
    </row>
    <row r="45" spans="2:14" x14ac:dyDescent="0.25">
      <c r="D45" s="42"/>
      <c r="I45" s="43"/>
    </row>
    <row r="46" spans="2:14" ht="15.75" x14ac:dyDescent="0.25">
      <c r="D46" s="42"/>
      <c r="H46" s="122" t="s">
        <v>28</v>
      </c>
      <c r="I46" s="124"/>
      <c r="J46" s="39">
        <f>SUM(J44+J39)</f>
        <v>655800</v>
      </c>
      <c r="K46" s="40">
        <f>SUM(K44+K39)</f>
        <v>0</v>
      </c>
      <c r="L46" s="28"/>
      <c r="M46" s="54"/>
      <c r="N46" s="21">
        <f>SUM(M44+M39)</f>
        <v>655800</v>
      </c>
    </row>
    <row r="47" spans="2:14" x14ac:dyDescent="0.25">
      <c r="D47" s="42"/>
      <c r="I47" s="43"/>
    </row>
    <row r="48" spans="2:14" x14ac:dyDescent="0.25">
      <c r="D48" s="42"/>
      <c r="H48" s="125" t="s">
        <v>29</v>
      </c>
      <c r="I48" s="126"/>
      <c r="J48" s="56" t="s">
        <v>14</v>
      </c>
      <c r="K48" s="57" t="s">
        <v>15</v>
      </c>
      <c r="L48" s="17"/>
      <c r="M48" s="17"/>
      <c r="N48" s="17"/>
    </row>
    <row r="49" spans="4:14" ht="15.75" x14ac:dyDescent="0.25">
      <c r="D49" s="42"/>
      <c r="H49" s="129"/>
      <c r="I49" s="130"/>
      <c r="J49" s="39">
        <f>SUM(J46+J31)</f>
        <v>7481900</v>
      </c>
      <c r="K49" s="40">
        <f>SUM(K46+K31)</f>
        <v>2762680</v>
      </c>
      <c r="L49" s="28"/>
      <c r="M49" s="28"/>
      <c r="N49" s="58">
        <f>SUM(K49+J49)</f>
        <v>10244580</v>
      </c>
    </row>
    <row r="50" spans="4:14" x14ac:dyDescent="0.25">
      <c r="D50" s="42"/>
      <c r="I50" s="43"/>
      <c r="N50" s="59"/>
    </row>
    <row r="51" spans="4:14" x14ac:dyDescent="0.25">
      <c r="D51" s="2" t="s">
        <v>30</v>
      </c>
      <c r="E51" s="1"/>
      <c r="F51" s="1"/>
      <c r="G51" s="1"/>
      <c r="H51" s="1"/>
      <c r="I51" s="1"/>
      <c r="J51" s="1"/>
    </row>
    <row r="52" spans="4:14" x14ac:dyDescent="0.25">
      <c r="D52" s="2"/>
      <c r="E52" s="1"/>
      <c r="F52" s="1"/>
      <c r="G52" s="1"/>
      <c r="H52" s="1"/>
      <c r="I52" s="1"/>
      <c r="J52" s="1"/>
    </row>
    <row r="53" spans="4:14" x14ac:dyDescent="0.25">
      <c r="D53" s="3" t="s">
        <v>31</v>
      </c>
      <c r="E53" s="3"/>
      <c r="F53" s="3" t="s">
        <v>32</v>
      </c>
      <c r="G53" s="3"/>
      <c r="H53" s="3" t="s">
        <v>33</v>
      </c>
      <c r="I53" s="3"/>
      <c r="J53" s="3" t="s">
        <v>34</v>
      </c>
    </row>
    <row r="54" spans="4:14" x14ac:dyDescent="0.25">
      <c r="D54" s="3"/>
      <c r="E54" s="3"/>
      <c r="F54" s="3"/>
      <c r="G54" s="3"/>
      <c r="H54" s="3"/>
      <c r="I54" s="3"/>
      <c r="J54" s="3"/>
    </row>
    <row r="55" spans="4:14" x14ac:dyDescent="0.25">
      <c r="D55" s="3"/>
      <c r="E55" s="3"/>
      <c r="F55" s="3"/>
      <c r="G55" s="3"/>
      <c r="H55" s="3"/>
      <c r="I55" s="3"/>
      <c r="J55" s="3"/>
    </row>
    <row r="56" spans="4:14" x14ac:dyDescent="0.25">
      <c r="D56" s="3"/>
      <c r="E56" s="3"/>
      <c r="F56" s="3"/>
      <c r="G56" s="3"/>
      <c r="H56" s="3"/>
      <c r="I56" s="3"/>
      <c r="J56" s="3"/>
    </row>
    <row r="57" spans="4:14" x14ac:dyDescent="0.25">
      <c r="D57" s="3" t="s">
        <v>35</v>
      </c>
      <c r="E57" s="3"/>
      <c r="F57" s="3" t="s">
        <v>36</v>
      </c>
      <c r="G57" s="3"/>
      <c r="H57" s="3" t="s">
        <v>36</v>
      </c>
      <c r="I57" s="3"/>
      <c r="J57" s="3" t="s">
        <v>37</v>
      </c>
    </row>
    <row r="58" spans="4:14" x14ac:dyDescent="0.25">
      <c r="D58" s="42"/>
    </row>
    <row r="59" spans="4:14" x14ac:dyDescent="0.25">
      <c r="D59" s="42"/>
    </row>
    <row r="60" spans="4:14" x14ac:dyDescent="0.25">
      <c r="D60" s="42"/>
    </row>
    <row r="61" spans="4:14" x14ac:dyDescent="0.25">
      <c r="D61" s="42"/>
    </row>
    <row r="62" spans="4:14" x14ac:dyDescent="0.25">
      <c r="D62" s="42"/>
    </row>
  </sheetData>
  <mergeCells count="37"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G31:I31"/>
    <mergeCell ref="I6:I7"/>
    <mergeCell ref="J6:L6"/>
    <mergeCell ref="M6:M7"/>
    <mergeCell ref="N6:N7"/>
    <mergeCell ref="B28:I28"/>
    <mergeCell ref="B14:I14"/>
    <mergeCell ref="B15:N15"/>
    <mergeCell ref="B20:I20"/>
    <mergeCell ref="B21:N21"/>
    <mergeCell ref="N34:N35"/>
    <mergeCell ref="B33:D33"/>
    <mergeCell ref="B34:B35"/>
    <mergeCell ref="C34:C35"/>
    <mergeCell ref="D34:D35"/>
    <mergeCell ref="E34:E35"/>
    <mergeCell ref="F34:F35"/>
    <mergeCell ref="G34:G35"/>
    <mergeCell ref="H34:H35"/>
    <mergeCell ref="I34:I35"/>
    <mergeCell ref="J34:L34"/>
    <mergeCell ref="M34:M35"/>
    <mergeCell ref="B39:I39"/>
    <mergeCell ref="B40:N40"/>
    <mergeCell ref="B44:I44"/>
    <mergeCell ref="H46:I46"/>
    <mergeCell ref="H48:I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F7DB-5549-4E63-898D-2B0357B6C88C}">
  <dimension ref="B2:P73"/>
  <sheetViews>
    <sheetView workbookViewId="0">
      <selection activeCell="N31" sqref="N31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579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580</v>
      </c>
      <c r="E8" s="10" t="s">
        <v>581</v>
      </c>
      <c r="F8" s="11" t="s">
        <v>582</v>
      </c>
      <c r="G8" s="12">
        <v>46140</v>
      </c>
      <c r="H8" s="12">
        <v>46153</v>
      </c>
      <c r="I8" s="13">
        <v>672300</v>
      </c>
      <c r="J8" s="14">
        <v>372300</v>
      </c>
      <c r="K8" s="15"/>
      <c r="L8" s="16" t="s">
        <v>235</v>
      </c>
      <c r="M8" s="16"/>
      <c r="N8" s="17"/>
    </row>
    <row r="9" spans="2:16" x14ac:dyDescent="0.25">
      <c r="B9" s="7">
        <v>2</v>
      </c>
      <c r="C9" s="8"/>
      <c r="D9" s="9" t="s">
        <v>583</v>
      </c>
      <c r="E9" s="10" t="s">
        <v>584</v>
      </c>
      <c r="F9" s="11" t="s">
        <v>585</v>
      </c>
      <c r="G9" s="12">
        <v>46140</v>
      </c>
      <c r="H9" s="12">
        <v>46153</v>
      </c>
      <c r="I9" s="13">
        <v>443700</v>
      </c>
      <c r="J9" s="14">
        <f t="shared" ref="J9:J15" si="0">I9</f>
        <v>443700</v>
      </c>
      <c r="K9" s="15"/>
      <c r="L9" s="16" t="s">
        <v>89</v>
      </c>
      <c r="M9" s="16"/>
      <c r="N9" s="17"/>
    </row>
    <row r="10" spans="2:16" x14ac:dyDescent="0.25">
      <c r="B10" s="7">
        <v>3</v>
      </c>
      <c r="C10" s="8"/>
      <c r="D10" s="9" t="s">
        <v>586</v>
      </c>
      <c r="E10" s="10" t="s">
        <v>587</v>
      </c>
      <c r="F10" s="11" t="s">
        <v>588</v>
      </c>
      <c r="G10" s="12">
        <v>46140</v>
      </c>
      <c r="H10" s="12">
        <v>46153</v>
      </c>
      <c r="I10" s="13">
        <v>430200</v>
      </c>
      <c r="J10" s="14">
        <f t="shared" si="0"/>
        <v>430200</v>
      </c>
      <c r="K10" s="15"/>
      <c r="L10" s="16" t="s">
        <v>89</v>
      </c>
      <c r="M10" s="16"/>
      <c r="N10" s="17"/>
    </row>
    <row r="11" spans="2:16" x14ac:dyDescent="0.25">
      <c r="B11" s="7">
        <v>4</v>
      </c>
      <c r="C11" s="8"/>
      <c r="D11" s="9" t="s">
        <v>589</v>
      </c>
      <c r="E11" s="10" t="s">
        <v>590</v>
      </c>
      <c r="F11" s="11" t="s">
        <v>144</v>
      </c>
      <c r="G11" s="12">
        <v>46140</v>
      </c>
      <c r="H11" s="12">
        <v>46153</v>
      </c>
      <c r="I11" s="13">
        <v>112800</v>
      </c>
      <c r="J11" s="14">
        <f t="shared" si="0"/>
        <v>112800</v>
      </c>
      <c r="K11" s="15"/>
      <c r="L11" s="16" t="s">
        <v>89</v>
      </c>
      <c r="M11" s="16"/>
      <c r="N11" s="17"/>
    </row>
    <row r="12" spans="2:16" x14ac:dyDescent="0.25">
      <c r="B12" s="7">
        <v>5</v>
      </c>
      <c r="C12" s="8"/>
      <c r="D12" s="9" t="s">
        <v>591</v>
      </c>
      <c r="E12" s="10" t="s">
        <v>592</v>
      </c>
      <c r="F12" s="11" t="s">
        <v>144</v>
      </c>
      <c r="G12" s="12">
        <v>46140</v>
      </c>
      <c r="H12" s="12">
        <v>46153</v>
      </c>
      <c r="I12" s="13">
        <v>115800</v>
      </c>
      <c r="J12" s="14">
        <f t="shared" si="0"/>
        <v>115800</v>
      </c>
      <c r="K12" s="15"/>
      <c r="L12" s="16" t="s">
        <v>89</v>
      </c>
      <c r="M12" s="16"/>
      <c r="N12" s="17"/>
    </row>
    <row r="13" spans="2:16" x14ac:dyDescent="0.25">
      <c r="B13" s="7">
        <v>6</v>
      </c>
      <c r="C13" s="8"/>
      <c r="D13" s="9" t="s">
        <v>593</v>
      </c>
      <c r="E13" s="10" t="s">
        <v>594</v>
      </c>
      <c r="F13" s="11" t="s">
        <v>595</v>
      </c>
      <c r="G13" s="12">
        <v>46140</v>
      </c>
      <c r="H13" s="12">
        <v>46153</v>
      </c>
      <c r="I13" s="13">
        <v>546000</v>
      </c>
      <c r="J13" s="14">
        <v>406000</v>
      </c>
      <c r="K13" s="15"/>
      <c r="L13" s="16" t="s">
        <v>89</v>
      </c>
      <c r="M13" s="16"/>
      <c r="N13" s="17"/>
      <c r="P13" t="s">
        <v>90</v>
      </c>
    </row>
    <row r="14" spans="2:16" x14ac:dyDescent="0.25">
      <c r="B14" s="7">
        <v>7</v>
      </c>
      <c r="C14" s="8"/>
      <c r="D14" s="9" t="s">
        <v>596</v>
      </c>
      <c r="E14" s="10" t="s">
        <v>597</v>
      </c>
      <c r="F14" s="11" t="s">
        <v>598</v>
      </c>
      <c r="G14" s="12">
        <v>46140</v>
      </c>
      <c r="H14" s="12">
        <v>46153</v>
      </c>
      <c r="I14" s="13">
        <v>887400</v>
      </c>
      <c r="J14" s="14">
        <v>300000</v>
      </c>
      <c r="K14" s="15"/>
      <c r="L14" s="16" t="s">
        <v>235</v>
      </c>
      <c r="M14" s="16"/>
      <c r="N14" s="17"/>
    </row>
    <row r="15" spans="2:16" x14ac:dyDescent="0.25">
      <c r="B15" s="7">
        <v>8</v>
      </c>
      <c r="C15" s="8"/>
      <c r="D15" s="9" t="s">
        <v>599</v>
      </c>
      <c r="E15" s="10" t="s">
        <v>600</v>
      </c>
      <c r="F15" s="11" t="s">
        <v>598</v>
      </c>
      <c r="G15" s="12">
        <v>46140</v>
      </c>
      <c r="H15" s="12">
        <v>46153</v>
      </c>
      <c r="I15" s="13">
        <v>225600</v>
      </c>
      <c r="J15" s="14">
        <f t="shared" si="0"/>
        <v>225600</v>
      </c>
      <c r="K15" s="15"/>
      <c r="L15" s="16" t="s">
        <v>235</v>
      </c>
      <c r="M15" s="16"/>
      <c r="N15" s="17"/>
    </row>
    <row r="16" spans="2:16" x14ac:dyDescent="0.25">
      <c r="B16" s="7">
        <v>13</v>
      </c>
      <c r="C16" s="8"/>
      <c r="D16" s="9" t="s">
        <v>601</v>
      </c>
      <c r="E16" s="10" t="s">
        <v>581</v>
      </c>
      <c r="F16" s="11" t="s">
        <v>582</v>
      </c>
      <c r="G16" s="12">
        <v>46140</v>
      </c>
      <c r="H16" s="12">
        <v>46153</v>
      </c>
      <c r="I16" s="13">
        <v>68556</v>
      </c>
      <c r="J16" s="14"/>
      <c r="K16" s="15">
        <f t="shared" ref="K16:K17" si="1">I16</f>
        <v>68556</v>
      </c>
      <c r="L16" s="16" t="s">
        <v>89</v>
      </c>
      <c r="M16" s="16"/>
      <c r="N16" s="17"/>
    </row>
    <row r="17" spans="2:14" x14ac:dyDescent="0.25">
      <c r="B17" s="7">
        <v>14</v>
      </c>
      <c r="C17" s="8"/>
      <c r="D17" s="9" t="s">
        <v>602</v>
      </c>
      <c r="E17" s="10" t="s">
        <v>584</v>
      </c>
      <c r="F17" s="11" t="s">
        <v>585</v>
      </c>
      <c r="G17" s="12">
        <v>46140</v>
      </c>
      <c r="H17" s="12">
        <v>46153</v>
      </c>
      <c r="I17" s="13">
        <v>57130</v>
      </c>
      <c r="J17" s="14"/>
      <c r="K17" s="15">
        <f t="shared" si="1"/>
        <v>57130</v>
      </c>
      <c r="L17" s="16" t="s">
        <v>89</v>
      </c>
      <c r="M17" s="16"/>
      <c r="N17" s="17"/>
    </row>
    <row r="18" spans="2:14" ht="15.75" x14ac:dyDescent="0.25">
      <c r="B18" s="122" t="s">
        <v>12</v>
      </c>
      <c r="C18" s="123"/>
      <c r="D18" s="123"/>
      <c r="E18" s="123"/>
      <c r="F18" s="123"/>
      <c r="G18" s="123"/>
      <c r="H18" s="123"/>
      <c r="I18" s="124"/>
      <c r="J18" s="18">
        <f>SUM(J8:J17)</f>
        <v>2406400</v>
      </c>
      <c r="K18" s="19">
        <f>SUM(K8:K17)</f>
        <v>125686</v>
      </c>
      <c r="L18" s="20"/>
      <c r="M18" s="21">
        <f>SUM(J18+K18)</f>
        <v>2532086</v>
      </c>
      <c r="N18" s="21"/>
    </row>
    <row r="19" spans="2:14" ht="15.75" x14ac:dyDescent="0.25">
      <c r="B19" s="141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72"/>
    </row>
    <row r="20" spans="2:14" x14ac:dyDescent="0.25">
      <c r="B20" s="7">
        <v>1</v>
      </c>
      <c r="C20" s="22" t="s">
        <v>21</v>
      </c>
      <c r="D20" s="9" t="s">
        <v>603</v>
      </c>
      <c r="E20" s="23" t="s">
        <v>604</v>
      </c>
      <c r="F20" s="24" t="s">
        <v>251</v>
      </c>
      <c r="G20" s="25">
        <v>46137</v>
      </c>
      <c r="H20" s="25">
        <v>46150</v>
      </c>
      <c r="I20" s="26">
        <v>1656000</v>
      </c>
      <c r="J20" s="14">
        <f>I20</f>
        <v>1656000</v>
      </c>
      <c r="K20" s="15"/>
      <c r="L20" s="16" t="s">
        <v>89</v>
      </c>
      <c r="M20" s="16"/>
      <c r="N20" s="17"/>
    </row>
    <row r="21" spans="2:14" x14ac:dyDescent="0.25">
      <c r="B21" s="7">
        <v>2</v>
      </c>
      <c r="C21" s="22"/>
      <c r="D21" s="9" t="s">
        <v>605</v>
      </c>
      <c r="E21" s="23" t="s">
        <v>606</v>
      </c>
      <c r="F21" s="24" t="s">
        <v>607</v>
      </c>
      <c r="G21" s="25">
        <v>46139</v>
      </c>
      <c r="H21" s="25">
        <v>46151</v>
      </c>
      <c r="I21" s="26">
        <v>217500</v>
      </c>
      <c r="J21" s="14">
        <f t="shared" ref="J21:J24" si="2">I21</f>
        <v>217500</v>
      </c>
      <c r="K21" s="15"/>
      <c r="L21" s="16" t="s">
        <v>89</v>
      </c>
      <c r="M21" s="16"/>
      <c r="N21" s="17"/>
    </row>
    <row r="22" spans="2:14" x14ac:dyDescent="0.25">
      <c r="B22" s="7">
        <v>3</v>
      </c>
      <c r="C22" s="22"/>
      <c r="D22" s="9" t="s">
        <v>608</v>
      </c>
      <c r="E22" s="23" t="s">
        <v>609</v>
      </c>
      <c r="F22" s="24" t="s">
        <v>610</v>
      </c>
      <c r="G22" s="25">
        <v>46140</v>
      </c>
      <c r="H22" s="25">
        <v>46153</v>
      </c>
      <c r="I22" s="26">
        <v>1532700</v>
      </c>
      <c r="J22" s="14">
        <f t="shared" si="2"/>
        <v>1532700</v>
      </c>
      <c r="K22" s="15"/>
      <c r="L22" s="16" t="s">
        <v>89</v>
      </c>
      <c r="M22" s="16"/>
      <c r="N22" s="17"/>
    </row>
    <row r="23" spans="2:14" x14ac:dyDescent="0.25">
      <c r="B23" s="7">
        <v>4</v>
      </c>
      <c r="C23" s="22"/>
      <c r="D23" s="9" t="s">
        <v>611</v>
      </c>
      <c r="E23" s="23" t="s">
        <v>612</v>
      </c>
      <c r="F23" s="24" t="s">
        <v>613</v>
      </c>
      <c r="G23" s="25">
        <v>46140</v>
      </c>
      <c r="H23" s="25">
        <v>46153</v>
      </c>
      <c r="I23" s="26">
        <v>645300</v>
      </c>
      <c r="J23" s="14">
        <f t="shared" si="2"/>
        <v>645300</v>
      </c>
      <c r="K23" s="15"/>
      <c r="L23" s="16" t="s">
        <v>89</v>
      </c>
      <c r="M23" s="16"/>
      <c r="N23" s="17"/>
    </row>
    <row r="24" spans="2:14" x14ac:dyDescent="0.25">
      <c r="B24" s="7">
        <v>5</v>
      </c>
      <c r="C24" s="22"/>
      <c r="D24" s="9" t="s">
        <v>614</v>
      </c>
      <c r="E24" s="23" t="s">
        <v>615</v>
      </c>
      <c r="F24" s="24" t="s">
        <v>613</v>
      </c>
      <c r="G24" s="25">
        <v>46140</v>
      </c>
      <c r="H24" s="25">
        <v>46153</v>
      </c>
      <c r="I24" s="26">
        <v>986700</v>
      </c>
      <c r="J24" s="14">
        <f t="shared" si="2"/>
        <v>986700</v>
      </c>
      <c r="K24" s="15"/>
      <c r="L24" s="16" t="s">
        <v>89</v>
      </c>
      <c r="M24" s="16"/>
      <c r="N24" s="17"/>
    </row>
    <row r="25" spans="2:14" x14ac:dyDescent="0.25">
      <c r="B25" s="7">
        <v>6</v>
      </c>
      <c r="C25" s="22"/>
      <c r="D25" s="9" t="s">
        <v>616</v>
      </c>
      <c r="E25" s="23" t="s">
        <v>612</v>
      </c>
      <c r="F25" s="24" t="s">
        <v>613</v>
      </c>
      <c r="G25" s="25">
        <v>46140</v>
      </c>
      <c r="H25" s="25">
        <v>46153</v>
      </c>
      <c r="I25" s="26">
        <v>348600</v>
      </c>
      <c r="J25" s="14"/>
      <c r="K25" s="15">
        <f>I25</f>
        <v>348600</v>
      </c>
      <c r="L25" s="16" t="s">
        <v>89</v>
      </c>
      <c r="M25" s="16"/>
      <c r="N25" s="17"/>
    </row>
    <row r="26" spans="2:14" x14ac:dyDescent="0.25">
      <c r="B26" s="7">
        <v>7</v>
      </c>
      <c r="C26" s="22"/>
      <c r="D26" s="9" t="s">
        <v>617</v>
      </c>
      <c r="E26" s="23" t="s">
        <v>618</v>
      </c>
      <c r="F26" s="24" t="s">
        <v>619</v>
      </c>
      <c r="G26" s="25">
        <v>46125</v>
      </c>
      <c r="H26" s="25">
        <v>46138</v>
      </c>
      <c r="I26" s="26">
        <v>633600</v>
      </c>
      <c r="J26" s="14"/>
      <c r="K26" s="15">
        <f t="shared" ref="K26:K30" si="3">I26</f>
        <v>633600</v>
      </c>
      <c r="L26" s="16" t="s">
        <v>89</v>
      </c>
      <c r="M26" s="16"/>
      <c r="N26" s="17"/>
    </row>
    <row r="27" spans="2:14" x14ac:dyDescent="0.25">
      <c r="B27" s="7">
        <v>8</v>
      </c>
      <c r="C27" s="22"/>
      <c r="D27" s="9" t="s">
        <v>620</v>
      </c>
      <c r="E27" s="23" t="s">
        <v>621</v>
      </c>
      <c r="F27" s="24" t="s">
        <v>622</v>
      </c>
      <c r="G27" s="25">
        <v>46140</v>
      </c>
      <c r="H27" s="25">
        <v>46153</v>
      </c>
      <c r="I27" s="26">
        <v>209112</v>
      </c>
      <c r="J27" s="14"/>
      <c r="K27" s="15">
        <f t="shared" si="3"/>
        <v>209112</v>
      </c>
      <c r="L27" s="16" t="s">
        <v>89</v>
      </c>
      <c r="M27" s="16"/>
      <c r="N27" s="17"/>
    </row>
    <row r="28" spans="2:14" x14ac:dyDescent="0.25">
      <c r="B28" s="7">
        <v>9</v>
      </c>
      <c r="C28" s="22"/>
      <c r="D28" s="9" t="s">
        <v>623</v>
      </c>
      <c r="E28" s="23" t="s">
        <v>615</v>
      </c>
      <c r="F28" s="24" t="s">
        <v>613</v>
      </c>
      <c r="G28" s="25">
        <v>46140</v>
      </c>
      <c r="H28" s="25">
        <v>46153</v>
      </c>
      <c r="I28" s="26">
        <v>68556</v>
      </c>
      <c r="J28" s="14"/>
      <c r="K28" s="15">
        <f t="shared" si="3"/>
        <v>68556</v>
      </c>
      <c r="L28" s="16" t="s">
        <v>89</v>
      </c>
      <c r="M28" s="16"/>
      <c r="N28" s="17"/>
    </row>
    <row r="29" spans="2:14" x14ac:dyDescent="0.25">
      <c r="B29" s="7">
        <v>10</v>
      </c>
      <c r="C29" s="22"/>
      <c r="D29" s="9" t="s">
        <v>624</v>
      </c>
      <c r="E29" s="23" t="s">
        <v>625</v>
      </c>
      <c r="F29" s="24" t="s">
        <v>626</v>
      </c>
      <c r="G29" s="25">
        <v>46140</v>
      </c>
      <c r="H29" s="25">
        <v>46153</v>
      </c>
      <c r="I29" s="26">
        <v>763500</v>
      </c>
      <c r="J29" s="14"/>
      <c r="K29" s="15">
        <f t="shared" si="3"/>
        <v>763500</v>
      </c>
      <c r="L29" s="16" t="s">
        <v>89</v>
      </c>
      <c r="M29" s="16"/>
      <c r="N29" s="17"/>
    </row>
    <row r="30" spans="2:14" x14ac:dyDescent="0.25">
      <c r="B30" s="7">
        <v>11</v>
      </c>
      <c r="C30" s="22"/>
      <c r="D30" s="9" t="s">
        <v>627</v>
      </c>
      <c r="E30" s="23" t="s">
        <v>628</v>
      </c>
      <c r="F30" s="24" t="s">
        <v>626</v>
      </c>
      <c r="G30" s="25">
        <v>46140</v>
      </c>
      <c r="H30" s="25">
        <v>46153</v>
      </c>
      <c r="I30" s="26">
        <v>156000</v>
      </c>
      <c r="J30" s="14"/>
      <c r="K30" s="15">
        <f t="shared" si="3"/>
        <v>156000</v>
      </c>
      <c r="L30" s="16" t="s">
        <v>89</v>
      </c>
      <c r="M30" s="16"/>
      <c r="N30" s="17"/>
    </row>
    <row r="31" spans="2:14" ht="15.75" x14ac:dyDescent="0.25">
      <c r="B31" s="143" t="s">
        <v>12</v>
      </c>
      <c r="C31" s="144"/>
      <c r="D31" s="144"/>
      <c r="E31" s="144"/>
      <c r="F31" s="144"/>
      <c r="G31" s="144"/>
      <c r="H31" s="144"/>
      <c r="I31" s="170"/>
      <c r="J31" s="18">
        <f>SUM(J20:J30)</f>
        <v>5038200</v>
      </c>
      <c r="K31" s="19">
        <f>SUM(K20:K30)</f>
        <v>2179368</v>
      </c>
      <c r="L31" s="28"/>
      <c r="M31" s="29">
        <f>SUM(J31+K31)</f>
        <v>7217568</v>
      </c>
      <c r="N31" s="21"/>
    </row>
    <row r="32" spans="2:14" ht="15.75" x14ac:dyDescent="0.25">
      <c r="B32" s="147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71"/>
    </row>
    <row r="33" spans="2:14" ht="15.75" x14ac:dyDescent="0.25">
      <c r="B33" s="67">
        <v>1</v>
      </c>
      <c r="C33" s="31" t="s">
        <v>22</v>
      </c>
      <c r="D33" s="55" t="s">
        <v>629</v>
      </c>
      <c r="E33" s="71" t="s">
        <v>630</v>
      </c>
      <c r="F33" s="71" t="s">
        <v>631</v>
      </c>
      <c r="G33" s="68">
        <v>46140</v>
      </c>
      <c r="H33" s="68">
        <v>46153</v>
      </c>
      <c r="I33" s="69">
        <v>655800</v>
      </c>
      <c r="J33" s="82">
        <f>I33</f>
        <v>655800</v>
      </c>
      <c r="K33" s="79"/>
      <c r="L33" s="16" t="s">
        <v>89</v>
      </c>
      <c r="M33" s="67"/>
      <c r="N33" s="65"/>
    </row>
    <row r="34" spans="2:14" ht="15.75" x14ac:dyDescent="0.25">
      <c r="B34" s="67">
        <v>2</v>
      </c>
      <c r="C34" s="67"/>
      <c r="D34" s="55" t="s">
        <v>632</v>
      </c>
      <c r="E34" s="71" t="s">
        <v>633</v>
      </c>
      <c r="F34" s="71" t="s">
        <v>634</v>
      </c>
      <c r="G34" s="68">
        <v>46140</v>
      </c>
      <c r="H34" s="68">
        <v>46153</v>
      </c>
      <c r="I34" s="69">
        <v>1317600</v>
      </c>
      <c r="J34" s="82">
        <f t="shared" ref="J34:J35" si="4">I34</f>
        <v>1317600</v>
      </c>
      <c r="K34" s="79"/>
      <c r="L34" s="16" t="s">
        <v>89</v>
      </c>
      <c r="M34" s="67"/>
      <c r="N34" s="65"/>
    </row>
    <row r="35" spans="2:14" ht="15.75" x14ac:dyDescent="0.25">
      <c r="B35" s="67">
        <v>3</v>
      </c>
      <c r="C35" s="67"/>
      <c r="D35" s="55" t="s">
        <v>635</v>
      </c>
      <c r="E35" s="71" t="s">
        <v>636</v>
      </c>
      <c r="F35" s="71" t="s">
        <v>637</v>
      </c>
      <c r="G35" s="68">
        <v>46140</v>
      </c>
      <c r="H35" s="68">
        <v>46153</v>
      </c>
      <c r="I35" s="69">
        <v>1099500</v>
      </c>
      <c r="J35" s="82">
        <f t="shared" si="4"/>
        <v>1099500</v>
      </c>
      <c r="K35" s="79"/>
      <c r="L35" s="16" t="s">
        <v>89</v>
      </c>
      <c r="M35" s="67"/>
      <c r="N35" s="65"/>
    </row>
    <row r="36" spans="2:14" ht="15.75" x14ac:dyDescent="0.25">
      <c r="B36" s="67">
        <v>4</v>
      </c>
      <c r="C36" s="67"/>
      <c r="D36" s="55" t="s">
        <v>638</v>
      </c>
      <c r="E36" s="71" t="s">
        <v>636</v>
      </c>
      <c r="F36" s="71" t="s">
        <v>637</v>
      </c>
      <c r="G36" s="68">
        <v>46140</v>
      </c>
      <c r="H36" s="68">
        <v>46153</v>
      </c>
      <c r="I36" s="69">
        <v>401780</v>
      </c>
      <c r="J36" s="82"/>
      <c r="K36" s="70">
        <f>I36</f>
        <v>401780</v>
      </c>
      <c r="L36" s="16" t="s">
        <v>89</v>
      </c>
      <c r="M36" s="67"/>
      <c r="N36" s="65"/>
    </row>
    <row r="37" spans="2:14" ht="15.75" x14ac:dyDescent="0.25">
      <c r="B37" s="67">
        <v>5</v>
      </c>
      <c r="C37" s="67"/>
      <c r="D37" s="55" t="s">
        <v>639</v>
      </c>
      <c r="E37" s="71" t="s">
        <v>633</v>
      </c>
      <c r="F37" s="71" t="s">
        <v>634</v>
      </c>
      <c r="G37" s="68">
        <v>46140</v>
      </c>
      <c r="H37" s="68">
        <v>46153</v>
      </c>
      <c r="I37" s="69">
        <v>68556</v>
      </c>
      <c r="J37" s="82"/>
      <c r="K37" s="70">
        <f>I37</f>
        <v>68556</v>
      </c>
      <c r="L37" s="16" t="s">
        <v>89</v>
      </c>
      <c r="M37" s="67"/>
      <c r="N37" s="65"/>
    </row>
    <row r="38" spans="2:14" ht="15.75" x14ac:dyDescent="0.25">
      <c r="B38" s="157" t="s">
        <v>12</v>
      </c>
      <c r="C38" s="158"/>
      <c r="D38" s="158"/>
      <c r="E38" s="158"/>
      <c r="F38" s="158"/>
      <c r="G38" s="158"/>
      <c r="H38" s="158"/>
      <c r="I38" s="159"/>
      <c r="J38" s="60">
        <f>SUM(J33:J37)</f>
        <v>3072900</v>
      </c>
      <c r="K38" s="61">
        <f>SUM(K33:K37)</f>
        <v>470336</v>
      </c>
      <c r="L38" s="62"/>
      <c r="M38" s="63">
        <f>SUM(K38+J38)</f>
        <v>3543236</v>
      </c>
      <c r="N38" s="64"/>
    </row>
    <row r="39" spans="2:14" x14ac:dyDescent="0.25">
      <c r="D39" s="42"/>
      <c r="I39" s="43"/>
      <c r="N39" s="44"/>
    </row>
    <row r="40" spans="2:14" x14ac:dyDescent="0.25">
      <c r="D40" s="42"/>
      <c r="I40" s="43"/>
      <c r="N40" s="44"/>
    </row>
    <row r="41" spans="2:14" ht="15.75" x14ac:dyDescent="0.25">
      <c r="D41" s="42"/>
      <c r="G41" s="150" t="s">
        <v>23</v>
      </c>
      <c r="H41" s="150"/>
      <c r="I41" s="150"/>
      <c r="J41" s="18">
        <f>SUM(J38+J31+J18)</f>
        <v>10517500</v>
      </c>
      <c r="K41" s="40">
        <f>SUM(K38+K31+K18)</f>
        <v>2775390</v>
      </c>
      <c r="L41" s="28"/>
      <c r="M41" s="28"/>
      <c r="N41" s="21">
        <f>SUM(J41+K41)</f>
        <v>13292890</v>
      </c>
    </row>
    <row r="42" spans="2:14" x14ac:dyDescent="0.25">
      <c r="D42" s="42"/>
      <c r="I42" s="43"/>
      <c r="N42" s="44"/>
    </row>
    <row r="43" spans="2:14" x14ac:dyDescent="0.25">
      <c r="B43" s="160" t="s">
        <v>24</v>
      </c>
      <c r="C43" s="160"/>
      <c r="D43" s="160"/>
      <c r="I43" s="43"/>
      <c r="N43" s="44"/>
    </row>
    <row r="44" spans="2:14" ht="15.75" x14ac:dyDescent="0.25">
      <c r="B44" s="154" t="s">
        <v>3</v>
      </c>
      <c r="C44" s="161" t="s">
        <v>25</v>
      </c>
      <c r="D44" s="154" t="s">
        <v>5</v>
      </c>
      <c r="E44" s="154" t="s">
        <v>6</v>
      </c>
      <c r="F44" s="154" t="s">
        <v>7</v>
      </c>
      <c r="G44" s="154" t="s">
        <v>8</v>
      </c>
      <c r="H44" s="154" t="s">
        <v>9</v>
      </c>
      <c r="I44" s="161" t="s">
        <v>26</v>
      </c>
      <c r="J44" s="143" t="s">
        <v>11</v>
      </c>
      <c r="K44" s="144"/>
      <c r="L44" s="170"/>
      <c r="M44" s="133" t="s">
        <v>12</v>
      </c>
      <c r="N44" s="154" t="s">
        <v>13</v>
      </c>
    </row>
    <row r="45" spans="2:14" ht="15.75" x14ac:dyDescent="0.25">
      <c r="B45" s="155"/>
      <c r="C45" s="162"/>
      <c r="D45" s="155"/>
      <c r="E45" s="155"/>
      <c r="F45" s="155"/>
      <c r="G45" s="155"/>
      <c r="H45" s="155"/>
      <c r="I45" s="162"/>
      <c r="J45" s="4" t="s">
        <v>14</v>
      </c>
      <c r="K45" s="5" t="s">
        <v>15</v>
      </c>
      <c r="L45" s="6" t="s">
        <v>16</v>
      </c>
      <c r="M45" s="134"/>
      <c r="N45" s="155"/>
    </row>
    <row r="46" spans="2:14" ht="15" customHeight="1" x14ac:dyDescent="0.25">
      <c r="B46" s="27">
        <v>1</v>
      </c>
      <c r="C46" s="31" t="s">
        <v>88</v>
      </c>
      <c r="D46" s="45" t="s">
        <v>640</v>
      </c>
      <c r="E46" s="46" t="s">
        <v>641</v>
      </c>
      <c r="F46" s="46" t="s">
        <v>552</v>
      </c>
      <c r="G46" s="47">
        <v>46153</v>
      </c>
      <c r="H46" s="47"/>
      <c r="I46" s="48">
        <v>6378000</v>
      </c>
      <c r="J46" s="49">
        <f>I46</f>
        <v>6378000</v>
      </c>
      <c r="K46" s="50"/>
      <c r="L46" s="16" t="s">
        <v>89</v>
      </c>
      <c r="M46" s="17"/>
      <c r="N46" s="17"/>
    </row>
    <row r="47" spans="2:14" ht="15" customHeight="1" x14ac:dyDescent="0.25">
      <c r="B47" s="27">
        <v>2</v>
      </c>
      <c r="C47" s="31" t="s">
        <v>88</v>
      </c>
      <c r="D47" s="51" t="s">
        <v>642</v>
      </c>
      <c r="E47" s="51" t="s">
        <v>643</v>
      </c>
      <c r="F47" s="17" t="s">
        <v>619</v>
      </c>
      <c r="G47" s="47">
        <v>46153</v>
      </c>
      <c r="H47" s="52"/>
      <c r="I47" s="16">
        <v>1063000</v>
      </c>
      <c r="J47" s="49">
        <f>I47</f>
        <v>1063000</v>
      </c>
      <c r="K47" s="50"/>
      <c r="L47" s="16" t="s">
        <v>89</v>
      </c>
      <c r="M47" s="17"/>
      <c r="N47" s="17"/>
    </row>
    <row r="48" spans="2:14" ht="15.75" x14ac:dyDescent="0.25">
      <c r="B48" s="122" t="s">
        <v>27</v>
      </c>
      <c r="C48" s="123"/>
      <c r="D48" s="123"/>
      <c r="E48" s="123"/>
      <c r="F48" s="123"/>
      <c r="G48" s="123"/>
      <c r="H48" s="123"/>
      <c r="I48" s="124"/>
      <c r="J48" s="39">
        <f>SUM(J46:J47)</f>
        <v>7441000</v>
      </c>
      <c r="K48" s="40">
        <f>SUM(K46:K47)</f>
        <v>0</v>
      </c>
      <c r="L48" s="28"/>
      <c r="M48" s="41">
        <f>SUM(J48+K48)</f>
        <v>7441000</v>
      </c>
      <c r="N48" s="53"/>
    </row>
    <row r="49" spans="2:14" ht="15.75" x14ac:dyDescent="0.25">
      <c r="B49" s="139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63"/>
    </row>
    <row r="50" spans="2:14" x14ac:dyDescent="0.25">
      <c r="B50" s="55">
        <v>1</v>
      </c>
      <c r="C50" s="8" t="s">
        <v>87</v>
      </c>
      <c r="D50" s="51" t="s">
        <v>644</v>
      </c>
      <c r="E50" s="51" t="s">
        <v>645</v>
      </c>
      <c r="F50" s="17" t="s">
        <v>561</v>
      </c>
      <c r="G50" s="47">
        <v>46153</v>
      </c>
      <c r="H50" s="52"/>
      <c r="I50" s="16">
        <v>1275600</v>
      </c>
      <c r="J50" s="49">
        <f>I50</f>
        <v>1275600</v>
      </c>
      <c r="K50" s="50"/>
      <c r="L50" s="16" t="s">
        <v>89</v>
      </c>
      <c r="M50" s="17"/>
      <c r="N50" s="17"/>
    </row>
    <row r="51" spans="2:14" x14ac:dyDescent="0.25">
      <c r="B51" s="55">
        <v>2</v>
      </c>
      <c r="C51" s="8" t="s">
        <v>87</v>
      </c>
      <c r="D51" s="51" t="s">
        <v>646</v>
      </c>
      <c r="E51" s="51" t="s">
        <v>647</v>
      </c>
      <c r="F51" s="17" t="s">
        <v>648</v>
      </c>
      <c r="G51" s="47">
        <v>46153</v>
      </c>
      <c r="H51" s="52"/>
      <c r="I51" s="16">
        <v>215100</v>
      </c>
      <c r="J51" s="49">
        <f t="shared" ref="J51:J53" si="5">I51</f>
        <v>215100</v>
      </c>
      <c r="K51" s="15"/>
      <c r="L51" s="16" t="s">
        <v>89</v>
      </c>
      <c r="M51" s="17"/>
      <c r="N51" s="17"/>
    </row>
    <row r="52" spans="2:14" x14ac:dyDescent="0.25">
      <c r="B52" s="55">
        <v>3</v>
      </c>
      <c r="C52" s="8" t="s">
        <v>87</v>
      </c>
      <c r="D52" s="51" t="s">
        <v>649</v>
      </c>
      <c r="E52" s="51" t="s">
        <v>650</v>
      </c>
      <c r="F52" s="17" t="s">
        <v>570</v>
      </c>
      <c r="G52" s="47">
        <v>46153</v>
      </c>
      <c r="H52" s="52"/>
      <c r="I52" s="16">
        <v>43500</v>
      </c>
      <c r="J52" s="49"/>
      <c r="K52" s="15">
        <f>I52</f>
        <v>43500</v>
      </c>
      <c r="L52" s="16" t="s">
        <v>89</v>
      </c>
      <c r="M52" s="17"/>
      <c r="N52" s="17"/>
    </row>
    <row r="53" spans="2:14" x14ac:dyDescent="0.25">
      <c r="B53" s="55">
        <v>4</v>
      </c>
      <c r="C53" s="8" t="s">
        <v>87</v>
      </c>
      <c r="D53" s="51" t="s">
        <v>651</v>
      </c>
      <c r="E53" s="51" t="s">
        <v>652</v>
      </c>
      <c r="F53" s="17" t="s">
        <v>561</v>
      </c>
      <c r="G53" s="47">
        <v>46153</v>
      </c>
      <c r="H53" s="52"/>
      <c r="I53" s="16">
        <v>215100</v>
      </c>
      <c r="J53" s="49">
        <f t="shared" si="5"/>
        <v>215100</v>
      </c>
      <c r="K53" s="50"/>
      <c r="L53" s="16" t="s">
        <v>89</v>
      </c>
      <c r="M53" s="17"/>
      <c r="N53" s="17"/>
    </row>
    <row r="54" spans="2:14" x14ac:dyDescent="0.25">
      <c r="B54" s="55">
        <v>5</v>
      </c>
      <c r="C54" s="8" t="s">
        <v>87</v>
      </c>
      <c r="D54" s="51" t="s">
        <v>653</v>
      </c>
      <c r="E54" s="51" t="s">
        <v>652</v>
      </c>
      <c r="F54" s="17" t="s">
        <v>561</v>
      </c>
      <c r="G54" s="47">
        <v>46153</v>
      </c>
      <c r="H54" s="52"/>
      <c r="I54" s="16">
        <v>68556</v>
      </c>
      <c r="J54" s="49"/>
      <c r="K54" s="15">
        <f>I54</f>
        <v>68556</v>
      </c>
      <c r="L54" s="16" t="s">
        <v>89</v>
      </c>
      <c r="M54" s="17"/>
      <c r="N54" s="17"/>
    </row>
    <row r="55" spans="2:14" ht="15.75" x14ac:dyDescent="0.25">
      <c r="B55" s="122" t="s">
        <v>27</v>
      </c>
      <c r="C55" s="123"/>
      <c r="D55" s="123"/>
      <c r="E55" s="123"/>
      <c r="F55" s="123"/>
      <c r="G55" s="123"/>
      <c r="H55" s="123"/>
      <c r="I55" s="124"/>
      <c r="J55" s="39">
        <f>SUM(J50:J54)</f>
        <v>1705800</v>
      </c>
      <c r="K55" s="40">
        <f>SUM(K50:K54)</f>
        <v>112056</v>
      </c>
      <c r="L55" s="28"/>
      <c r="M55" s="41">
        <f>SUM(J55+K55)</f>
        <v>1817856</v>
      </c>
      <c r="N55" s="53"/>
    </row>
    <row r="56" spans="2:14" x14ac:dyDescent="0.25">
      <c r="D56" s="42"/>
      <c r="I56" s="43"/>
    </row>
    <row r="57" spans="2:14" ht="15.75" x14ac:dyDescent="0.25">
      <c r="D57" s="42"/>
      <c r="H57" s="122" t="s">
        <v>28</v>
      </c>
      <c r="I57" s="124"/>
      <c r="J57" s="39">
        <f>SUM(J55+J48)</f>
        <v>9146800</v>
      </c>
      <c r="K57" s="40">
        <f>SUM(K55+K48)</f>
        <v>112056</v>
      </c>
      <c r="L57" s="28"/>
      <c r="M57" s="54"/>
      <c r="N57" s="21">
        <f>SUM(M55+M48)</f>
        <v>9258856</v>
      </c>
    </row>
    <row r="58" spans="2:14" x14ac:dyDescent="0.25">
      <c r="D58" s="42"/>
      <c r="I58" s="43"/>
    </row>
    <row r="59" spans="2:14" x14ac:dyDescent="0.25">
      <c r="D59" s="42"/>
      <c r="H59" s="125" t="s">
        <v>29</v>
      </c>
      <c r="I59" s="126"/>
      <c r="J59" s="56" t="s">
        <v>14</v>
      </c>
      <c r="K59" s="57" t="s">
        <v>15</v>
      </c>
      <c r="L59" s="17"/>
      <c r="M59" s="17"/>
      <c r="N59" s="17"/>
    </row>
    <row r="60" spans="2:14" ht="15.75" x14ac:dyDescent="0.25">
      <c r="D60" s="42"/>
      <c r="H60" s="129"/>
      <c r="I60" s="130"/>
      <c r="J60" s="39">
        <f>SUM(J57+J41)</f>
        <v>19664300</v>
      </c>
      <c r="K60" s="40">
        <f>SUM(K57+K41)</f>
        <v>2887446</v>
      </c>
      <c r="L60" s="28"/>
      <c r="M60" s="28"/>
      <c r="N60" s="58">
        <f>SUM(K60+J60)</f>
        <v>22551746</v>
      </c>
    </row>
    <row r="61" spans="2:14" x14ac:dyDescent="0.25">
      <c r="D61" s="42"/>
      <c r="I61" s="43"/>
      <c r="N61" s="59"/>
    </row>
    <row r="62" spans="2:14" x14ac:dyDescent="0.25">
      <c r="D62" s="2" t="s">
        <v>30</v>
      </c>
      <c r="E62" s="1"/>
      <c r="F62" s="1"/>
      <c r="G62" s="1"/>
      <c r="H62" s="1"/>
      <c r="I62" s="1"/>
      <c r="J62" s="1"/>
    </row>
    <row r="63" spans="2:14" x14ac:dyDescent="0.25">
      <c r="D63" s="2"/>
      <c r="E63" s="1"/>
      <c r="F63" s="1"/>
      <c r="G63" s="1"/>
      <c r="H63" s="1"/>
      <c r="I63" s="1"/>
      <c r="J63" s="1"/>
    </row>
    <row r="64" spans="2:14" x14ac:dyDescent="0.25">
      <c r="D64" s="3" t="s">
        <v>31</v>
      </c>
      <c r="E64" s="3"/>
      <c r="F64" s="3" t="s">
        <v>32</v>
      </c>
      <c r="G64" s="3"/>
      <c r="H64" s="3" t="s">
        <v>33</v>
      </c>
      <c r="I64" s="3"/>
      <c r="J64" s="3" t="s">
        <v>34</v>
      </c>
    </row>
    <row r="65" spans="4:10" x14ac:dyDescent="0.25">
      <c r="D65" s="3"/>
      <c r="E65" s="3"/>
      <c r="F65" s="3"/>
      <c r="G65" s="3"/>
      <c r="H65" s="3"/>
      <c r="I65" s="3"/>
      <c r="J65" s="3"/>
    </row>
    <row r="66" spans="4:10" x14ac:dyDescent="0.25">
      <c r="D66" s="3"/>
      <c r="E66" s="3"/>
      <c r="F66" s="3"/>
      <c r="G66" s="3"/>
      <c r="H66" s="3"/>
      <c r="I66" s="3"/>
      <c r="J66" s="3"/>
    </row>
    <row r="67" spans="4:10" x14ac:dyDescent="0.25">
      <c r="D67" s="3"/>
      <c r="E67" s="3"/>
      <c r="F67" s="3"/>
      <c r="G67" s="3"/>
      <c r="H67" s="3"/>
      <c r="I67" s="3"/>
      <c r="J67" s="3"/>
    </row>
    <row r="68" spans="4:10" x14ac:dyDescent="0.25">
      <c r="D68" s="3" t="s">
        <v>35</v>
      </c>
      <c r="E68" s="3"/>
      <c r="F68" s="3" t="s">
        <v>36</v>
      </c>
      <c r="G68" s="3"/>
      <c r="H68" s="3" t="s">
        <v>36</v>
      </c>
      <c r="I68" s="3"/>
      <c r="J68" s="3" t="s">
        <v>37</v>
      </c>
    </row>
    <row r="69" spans="4:10" x14ac:dyDescent="0.25">
      <c r="D69" s="42"/>
    </row>
    <row r="70" spans="4:10" x14ac:dyDescent="0.25">
      <c r="D70" s="42"/>
    </row>
    <row r="71" spans="4:10" x14ac:dyDescent="0.25">
      <c r="D71" s="42"/>
    </row>
    <row r="72" spans="4:10" x14ac:dyDescent="0.25">
      <c r="D72" s="42"/>
    </row>
    <row r="73" spans="4:10" x14ac:dyDescent="0.25">
      <c r="D73" s="42"/>
    </row>
  </sheetData>
  <mergeCells count="37">
    <mergeCell ref="B19:N19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8:I18"/>
    <mergeCell ref="N44:N45"/>
    <mergeCell ref="B31:I31"/>
    <mergeCell ref="B32:N32"/>
    <mergeCell ref="B38:I38"/>
    <mergeCell ref="G41:I41"/>
    <mergeCell ref="B43:D43"/>
    <mergeCell ref="B44:B45"/>
    <mergeCell ref="C44:C45"/>
    <mergeCell ref="D44:D45"/>
    <mergeCell ref="E44:E45"/>
    <mergeCell ref="F44:F45"/>
    <mergeCell ref="G44:G45"/>
    <mergeCell ref="H44:H45"/>
    <mergeCell ref="I44:I45"/>
    <mergeCell ref="J44:L44"/>
    <mergeCell ref="M44:M45"/>
    <mergeCell ref="B48:I48"/>
    <mergeCell ref="B49:N49"/>
    <mergeCell ref="B55:I55"/>
    <mergeCell ref="H57:I57"/>
    <mergeCell ref="H59:I6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F86BD-AD0E-4E99-97D3-C376141E9682}">
  <dimension ref="B2:P77"/>
  <sheetViews>
    <sheetView topLeftCell="A3" workbookViewId="0">
      <selection activeCell="K54" sqref="K54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654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580</v>
      </c>
      <c r="E8" s="10" t="s">
        <v>581</v>
      </c>
      <c r="F8" s="11" t="s">
        <v>582</v>
      </c>
      <c r="G8" s="12">
        <v>46140</v>
      </c>
      <c r="H8" s="12">
        <v>46153</v>
      </c>
      <c r="I8" s="13">
        <v>300000</v>
      </c>
      <c r="J8" s="14">
        <f>I8</f>
        <v>300000</v>
      </c>
      <c r="K8" s="15"/>
      <c r="L8" s="16" t="s">
        <v>89</v>
      </c>
      <c r="M8" s="16"/>
      <c r="N8" s="17"/>
    </row>
    <row r="9" spans="2:16" x14ac:dyDescent="0.25">
      <c r="B9" s="7">
        <v>2</v>
      </c>
      <c r="C9" s="8"/>
      <c r="D9" s="9" t="s">
        <v>593</v>
      </c>
      <c r="E9" s="10" t="s">
        <v>594</v>
      </c>
      <c r="F9" s="11" t="s">
        <v>655</v>
      </c>
      <c r="G9" s="12">
        <v>46140</v>
      </c>
      <c r="H9" s="12">
        <v>46153</v>
      </c>
      <c r="I9" s="13">
        <v>140000</v>
      </c>
      <c r="J9" s="14">
        <f t="shared" ref="J9:J11" si="0">I9</f>
        <v>140000</v>
      </c>
      <c r="K9" s="15"/>
      <c r="L9" s="16" t="s">
        <v>89</v>
      </c>
      <c r="M9" s="16"/>
      <c r="N9" s="17"/>
    </row>
    <row r="10" spans="2:16" x14ac:dyDescent="0.25">
      <c r="B10" s="7">
        <v>3</v>
      </c>
      <c r="C10" s="8"/>
      <c r="D10" s="9" t="s">
        <v>596</v>
      </c>
      <c r="E10" s="10" t="s">
        <v>597</v>
      </c>
      <c r="F10" s="11" t="s">
        <v>598</v>
      </c>
      <c r="G10" s="12">
        <v>46140</v>
      </c>
      <c r="H10" s="12">
        <v>46153</v>
      </c>
      <c r="I10" s="13">
        <v>587400</v>
      </c>
      <c r="J10" s="14">
        <f t="shared" si="0"/>
        <v>587400</v>
      </c>
      <c r="K10" s="15"/>
      <c r="L10" s="16" t="s">
        <v>89</v>
      </c>
      <c r="M10" s="16"/>
      <c r="N10" s="17"/>
    </row>
    <row r="11" spans="2:16" x14ac:dyDescent="0.25">
      <c r="B11" s="7">
        <v>7</v>
      </c>
      <c r="C11" s="8"/>
      <c r="D11" s="9" t="s">
        <v>660</v>
      </c>
      <c r="E11" s="10" t="s">
        <v>661</v>
      </c>
      <c r="F11" s="11" t="s">
        <v>659</v>
      </c>
      <c r="G11" s="12">
        <v>46141</v>
      </c>
      <c r="H11" s="12">
        <v>46154</v>
      </c>
      <c r="I11" s="13">
        <v>215100</v>
      </c>
      <c r="J11" s="14">
        <f t="shared" si="0"/>
        <v>215100</v>
      </c>
      <c r="K11" s="15"/>
      <c r="L11" s="16" t="s">
        <v>89</v>
      </c>
      <c r="M11" s="16"/>
      <c r="N11" s="17"/>
    </row>
    <row r="12" spans="2:16" x14ac:dyDescent="0.25">
      <c r="B12" s="7">
        <v>11</v>
      </c>
      <c r="C12" s="8"/>
      <c r="D12" s="9" t="s">
        <v>662</v>
      </c>
      <c r="E12" s="10" t="s">
        <v>663</v>
      </c>
      <c r="F12" s="11" t="s">
        <v>656</v>
      </c>
      <c r="G12" s="12">
        <v>46127</v>
      </c>
      <c r="H12" s="12">
        <v>46140</v>
      </c>
      <c r="I12" s="13">
        <v>100000</v>
      </c>
      <c r="J12" s="14"/>
      <c r="K12" s="15">
        <f>I12</f>
        <v>100000</v>
      </c>
      <c r="L12" s="16" t="s">
        <v>89</v>
      </c>
      <c r="M12" s="16"/>
      <c r="N12" s="17"/>
    </row>
    <row r="13" spans="2:16" x14ac:dyDescent="0.25">
      <c r="B13" s="7">
        <v>15</v>
      </c>
      <c r="C13" s="8"/>
      <c r="D13" s="9" t="s">
        <v>664</v>
      </c>
      <c r="E13" s="10" t="s">
        <v>665</v>
      </c>
      <c r="F13" s="11" t="s">
        <v>656</v>
      </c>
      <c r="G13" s="12">
        <v>46141</v>
      </c>
      <c r="H13" s="12">
        <v>46154</v>
      </c>
      <c r="I13" s="13">
        <v>2822400</v>
      </c>
      <c r="J13" s="14"/>
      <c r="K13" s="15">
        <v>1500000</v>
      </c>
      <c r="L13" s="16" t="s">
        <v>235</v>
      </c>
      <c r="M13" s="16"/>
      <c r="N13" s="17"/>
    </row>
    <row r="14" spans="2:16" x14ac:dyDescent="0.25">
      <c r="B14" s="7">
        <v>16</v>
      </c>
      <c r="C14" s="8"/>
      <c r="D14" s="9" t="s">
        <v>666</v>
      </c>
      <c r="E14" s="10" t="s">
        <v>657</v>
      </c>
      <c r="F14" s="11" t="s">
        <v>658</v>
      </c>
      <c r="G14" s="12">
        <v>46141</v>
      </c>
      <c r="H14" s="12">
        <v>46154</v>
      </c>
      <c r="I14" s="13">
        <v>1411200</v>
      </c>
      <c r="J14" s="14"/>
      <c r="K14" s="15">
        <v>1000000</v>
      </c>
      <c r="L14" s="16" t="s">
        <v>235</v>
      </c>
      <c r="M14" s="16"/>
      <c r="N14" s="17"/>
    </row>
    <row r="15" spans="2:16" x14ac:dyDescent="0.25">
      <c r="B15" s="7">
        <v>17</v>
      </c>
      <c r="C15" s="8"/>
      <c r="D15" s="9" t="s">
        <v>667</v>
      </c>
      <c r="E15" s="10" t="s">
        <v>668</v>
      </c>
      <c r="F15" s="11" t="s">
        <v>659</v>
      </c>
      <c r="G15" s="12">
        <v>46141</v>
      </c>
      <c r="H15" s="12">
        <v>46154</v>
      </c>
      <c r="I15" s="13">
        <v>174000</v>
      </c>
      <c r="J15" s="14"/>
      <c r="K15" s="15">
        <f t="shared" ref="K15" si="1">I15</f>
        <v>174000</v>
      </c>
      <c r="L15" s="16" t="s">
        <v>89</v>
      </c>
      <c r="M15" s="16"/>
      <c r="N15" s="17"/>
    </row>
    <row r="16" spans="2:16" ht="15.75" x14ac:dyDescent="0.25">
      <c r="B16" s="122" t="s">
        <v>12</v>
      </c>
      <c r="C16" s="123"/>
      <c r="D16" s="123"/>
      <c r="E16" s="123"/>
      <c r="F16" s="123"/>
      <c r="G16" s="123"/>
      <c r="H16" s="123"/>
      <c r="I16" s="124"/>
      <c r="J16" s="18">
        <f>SUM(J8:J15)</f>
        <v>1242500</v>
      </c>
      <c r="K16" s="19">
        <f>SUM(K8:K15)</f>
        <v>2774000</v>
      </c>
      <c r="L16" s="20"/>
      <c r="M16" s="21">
        <f>SUM(J16+K16)</f>
        <v>4016500</v>
      </c>
      <c r="N16" s="21"/>
    </row>
    <row r="17" spans="2:14" ht="15.75" x14ac:dyDescent="0.25">
      <c r="B17" s="141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72"/>
    </row>
    <row r="18" spans="2:14" x14ac:dyDescent="0.25">
      <c r="B18" s="7">
        <v>1</v>
      </c>
      <c r="C18" s="22" t="s">
        <v>21</v>
      </c>
      <c r="D18" s="9" t="s">
        <v>669</v>
      </c>
      <c r="E18" s="23" t="s">
        <v>670</v>
      </c>
      <c r="F18" s="24" t="s">
        <v>671</v>
      </c>
      <c r="G18" s="25">
        <v>46141</v>
      </c>
      <c r="H18" s="25">
        <v>46154</v>
      </c>
      <c r="I18" s="26">
        <v>215100</v>
      </c>
      <c r="J18" s="14">
        <f t="shared" ref="J18:J23" si="2">I18</f>
        <v>215100</v>
      </c>
      <c r="K18" s="15"/>
      <c r="L18" s="16" t="s">
        <v>89</v>
      </c>
      <c r="M18" s="16"/>
      <c r="N18" s="17"/>
    </row>
    <row r="19" spans="2:14" x14ac:dyDescent="0.25">
      <c r="B19" s="7">
        <v>2</v>
      </c>
      <c r="C19" s="22"/>
      <c r="D19" s="9" t="s">
        <v>672</v>
      </c>
      <c r="E19" s="23" t="s">
        <v>673</v>
      </c>
      <c r="F19" s="24" t="s">
        <v>674</v>
      </c>
      <c r="G19" s="25">
        <v>46141</v>
      </c>
      <c r="H19" s="25">
        <v>46154</v>
      </c>
      <c r="I19" s="26">
        <v>327900</v>
      </c>
      <c r="J19" s="14">
        <f t="shared" si="2"/>
        <v>327900</v>
      </c>
      <c r="K19" s="15"/>
      <c r="L19" s="16" t="s">
        <v>89</v>
      </c>
      <c r="M19" s="16"/>
      <c r="N19" s="17"/>
    </row>
    <row r="20" spans="2:14" x14ac:dyDescent="0.25">
      <c r="B20" s="7">
        <v>4</v>
      </c>
      <c r="C20" s="22"/>
      <c r="D20" s="9" t="s">
        <v>675</v>
      </c>
      <c r="E20" s="23" t="s">
        <v>676</v>
      </c>
      <c r="F20" s="24" t="s">
        <v>677</v>
      </c>
      <c r="G20" s="25">
        <v>46141</v>
      </c>
      <c r="H20" s="25">
        <v>46154</v>
      </c>
      <c r="I20" s="26">
        <v>231600</v>
      </c>
      <c r="J20" s="14">
        <f t="shared" si="2"/>
        <v>231600</v>
      </c>
      <c r="K20" s="15"/>
      <c r="L20" s="16" t="s">
        <v>89</v>
      </c>
      <c r="M20" s="16"/>
      <c r="N20" s="17"/>
    </row>
    <row r="21" spans="2:14" x14ac:dyDescent="0.25">
      <c r="B21" s="7">
        <v>7</v>
      </c>
      <c r="C21" s="22"/>
      <c r="D21" s="9" t="s">
        <v>680</v>
      </c>
      <c r="E21" s="23" t="s">
        <v>681</v>
      </c>
      <c r="F21" s="24" t="s">
        <v>679</v>
      </c>
      <c r="G21" s="25">
        <v>46141</v>
      </c>
      <c r="H21" s="25">
        <v>46154</v>
      </c>
      <c r="I21" s="26">
        <v>546000</v>
      </c>
      <c r="J21" s="14">
        <f t="shared" si="2"/>
        <v>546000</v>
      </c>
      <c r="K21" s="15"/>
      <c r="L21" s="16" t="s">
        <v>89</v>
      </c>
      <c r="M21" s="16"/>
      <c r="N21" s="17"/>
    </row>
    <row r="22" spans="2:14" x14ac:dyDescent="0.25">
      <c r="B22" s="7">
        <v>8</v>
      </c>
      <c r="C22" s="22"/>
      <c r="D22" s="9" t="s">
        <v>682</v>
      </c>
      <c r="E22" s="23" t="s">
        <v>683</v>
      </c>
      <c r="F22" s="24" t="s">
        <v>677</v>
      </c>
      <c r="G22" s="25">
        <v>46141</v>
      </c>
      <c r="H22" s="25">
        <v>46154</v>
      </c>
      <c r="I22" s="26">
        <v>1102500</v>
      </c>
      <c r="J22" s="14">
        <f t="shared" si="2"/>
        <v>1102500</v>
      </c>
      <c r="K22" s="15"/>
      <c r="L22" s="16" t="s">
        <v>89</v>
      </c>
      <c r="M22" s="16"/>
      <c r="N22" s="17"/>
    </row>
    <row r="23" spans="2:14" x14ac:dyDescent="0.25">
      <c r="B23" s="7">
        <v>10</v>
      </c>
      <c r="C23" s="22"/>
      <c r="D23" s="9" t="s">
        <v>684</v>
      </c>
      <c r="E23" s="23" t="s">
        <v>685</v>
      </c>
      <c r="F23" s="24" t="s">
        <v>686</v>
      </c>
      <c r="G23" s="25">
        <v>46141</v>
      </c>
      <c r="H23" s="25">
        <v>46154</v>
      </c>
      <c r="I23" s="26">
        <v>887400</v>
      </c>
      <c r="J23" s="14">
        <f t="shared" si="2"/>
        <v>887400</v>
      </c>
      <c r="K23" s="15"/>
      <c r="L23" s="16" t="s">
        <v>89</v>
      </c>
      <c r="M23" s="16"/>
      <c r="N23" s="17"/>
    </row>
    <row r="24" spans="2:14" x14ac:dyDescent="0.25">
      <c r="B24" s="7">
        <v>11</v>
      </c>
      <c r="C24" s="22"/>
      <c r="D24" s="9" t="s">
        <v>687</v>
      </c>
      <c r="E24" s="23" t="s">
        <v>688</v>
      </c>
      <c r="F24" s="24" t="s">
        <v>689</v>
      </c>
      <c r="G24" s="25">
        <v>46126</v>
      </c>
      <c r="H24" s="25">
        <v>46139</v>
      </c>
      <c r="I24" s="26">
        <v>390000</v>
      </c>
      <c r="J24" s="14"/>
      <c r="K24" s="15">
        <f>I24</f>
        <v>390000</v>
      </c>
      <c r="L24" s="16" t="s">
        <v>89</v>
      </c>
      <c r="M24" s="16"/>
      <c r="N24" s="17"/>
    </row>
    <row r="25" spans="2:14" x14ac:dyDescent="0.25">
      <c r="B25" s="7">
        <v>12</v>
      </c>
      <c r="C25" s="22"/>
      <c r="D25" s="9" t="s">
        <v>690</v>
      </c>
      <c r="E25" s="23" t="s">
        <v>691</v>
      </c>
      <c r="F25" s="24" t="s">
        <v>689</v>
      </c>
      <c r="G25" s="25">
        <v>46126</v>
      </c>
      <c r="H25" s="25">
        <v>46139</v>
      </c>
      <c r="I25" s="26">
        <v>316800</v>
      </c>
      <c r="J25" s="14"/>
      <c r="K25" s="15">
        <f t="shared" ref="K25:K33" si="3">I25</f>
        <v>316800</v>
      </c>
      <c r="L25" s="16" t="s">
        <v>89</v>
      </c>
      <c r="M25" s="16"/>
      <c r="N25" s="17"/>
    </row>
    <row r="26" spans="2:14" x14ac:dyDescent="0.25">
      <c r="B26" s="7">
        <v>13</v>
      </c>
      <c r="C26" s="22"/>
      <c r="D26" s="9" t="s">
        <v>692</v>
      </c>
      <c r="E26" s="23" t="s">
        <v>693</v>
      </c>
      <c r="F26" s="24" t="s">
        <v>694</v>
      </c>
      <c r="G26" s="25">
        <v>46126</v>
      </c>
      <c r="H26" s="25">
        <v>46139</v>
      </c>
      <c r="I26" s="26">
        <v>435000</v>
      </c>
      <c r="J26" s="14"/>
      <c r="K26" s="15">
        <f t="shared" si="3"/>
        <v>435000</v>
      </c>
      <c r="L26" s="16" t="s">
        <v>89</v>
      </c>
      <c r="M26" s="16"/>
      <c r="N26" s="17"/>
    </row>
    <row r="27" spans="2:14" x14ac:dyDescent="0.25">
      <c r="B27" s="7">
        <v>15</v>
      </c>
      <c r="C27" s="22"/>
      <c r="D27" s="9" t="s">
        <v>695</v>
      </c>
      <c r="E27" s="23" t="s">
        <v>670</v>
      </c>
      <c r="F27" s="24" t="s">
        <v>671</v>
      </c>
      <c r="G27" s="25">
        <v>46141</v>
      </c>
      <c r="H27" s="25">
        <v>46154</v>
      </c>
      <c r="I27" s="26">
        <v>68556</v>
      </c>
      <c r="J27" s="14"/>
      <c r="K27" s="15">
        <f t="shared" si="3"/>
        <v>68556</v>
      </c>
      <c r="L27" s="16" t="s">
        <v>89</v>
      </c>
      <c r="M27" s="16"/>
      <c r="N27" s="17"/>
    </row>
    <row r="28" spans="2:14" x14ac:dyDescent="0.25">
      <c r="B28" s="7">
        <v>16</v>
      </c>
      <c r="C28" s="22"/>
      <c r="D28" s="9" t="s">
        <v>696</v>
      </c>
      <c r="E28" s="23" t="s">
        <v>673</v>
      </c>
      <c r="F28" s="24" t="s">
        <v>674</v>
      </c>
      <c r="G28" s="25">
        <v>46141</v>
      </c>
      <c r="H28" s="25">
        <v>46154</v>
      </c>
      <c r="I28" s="26">
        <v>68556</v>
      </c>
      <c r="J28" s="14"/>
      <c r="K28" s="15">
        <f t="shared" si="3"/>
        <v>68556</v>
      </c>
      <c r="L28" s="16" t="s">
        <v>89</v>
      </c>
      <c r="M28" s="16"/>
      <c r="N28" s="17"/>
    </row>
    <row r="29" spans="2:14" x14ac:dyDescent="0.25">
      <c r="B29" s="7">
        <v>17</v>
      </c>
      <c r="C29" s="22"/>
      <c r="D29" s="9" t="s">
        <v>697</v>
      </c>
      <c r="E29" s="23" t="s">
        <v>698</v>
      </c>
      <c r="F29" s="24" t="s">
        <v>674</v>
      </c>
      <c r="G29" s="25">
        <v>46141</v>
      </c>
      <c r="H29" s="25">
        <v>46154</v>
      </c>
      <c r="I29" s="26">
        <v>137112</v>
      </c>
      <c r="J29" s="14"/>
      <c r="K29" s="15">
        <v>50000</v>
      </c>
      <c r="L29" s="16" t="s">
        <v>235</v>
      </c>
      <c r="M29" s="16"/>
      <c r="N29" s="17"/>
    </row>
    <row r="30" spans="2:14" x14ac:dyDescent="0.25">
      <c r="B30" s="7">
        <v>18</v>
      </c>
      <c r="C30" s="22"/>
      <c r="D30" s="9" t="s">
        <v>699</v>
      </c>
      <c r="E30" s="23" t="s">
        <v>681</v>
      </c>
      <c r="F30" s="24" t="s">
        <v>679</v>
      </c>
      <c r="G30" s="25">
        <v>46141</v>
      </c>
      <c r="H30" s="25">
        <v>46154</v>
      </c>
      <c r="I30" s="26">
        <v>137112</v>
      </c>
      <c r="J30" s="14"/>
      <c r="K30" s="15">
        <f t="shared" si="3"/>
        <v>137112</v>
      </c>
      <c r="L30" s="16" t="s">
        <v>89</v>
      </c>
      <c r="M30" s="16"/>
      <c r="N30" s="17"/>
    </row>
    <row r="31" spans="2:14" x14ac:dyDescent="0.25">
      <c r="B31" s="7">
        <v>19</v>
      </c>
      <c r="C31" s="22"/>
      <c r="D31" s="9" t="s">
        <v>700</v>
      </c>
      <c r="E31" s="23" t="s">
        <v>685</v>
      </c>
      <c r="F31" s="24" t="s">
        <v>686</v>
      </c>
      <c r="G31" s="25">
        <v>46141</v>
      </c>
      <c r="H31" s="25">
        <v>46154</v>
      </c>
      <c r="I31" s="26">
        <v>137112</v>
      </c>
      <c r="J31" s="14"/>
      <c r="K31" s="15">
        <f t="shared" si="3"/>
        <v>137112</v>
      </c>
      <c r="L31" s="16" t="s">
        <v>89</v>
      </c>
      <c r="M31" s="16"/>
      <c r="N31" s="17"/>
    </row>
    <row r="32" spans="2:14" x14ac:dyDescent="0.25">
      <c r="B32" s="7">
        <v>20</v>
      </c>
      <c r="C32" s="22"/>
      <c r="D32" s="9" t="s">
        <v>701</v>
      </c>
      <c r="E32" s="23" t="s">
        <v>676</v>
      </c>
      <c r="F32" s="24" t="s">
        <v>677</v>
      </c>
      <c r="G32" s="25">
        <v>46141</v>
      </c>
      <c r="H32" s="25">
        <v>46154</v>
      </c>
      <c r="I32" s="26">
        <v>150000</v>
      </c>
      <c r="J32" s="14"/>
      <c r="K32" s="15">
        <f t="shared" si="3"/>
        <v>150000</v>
      </c>
      <c r="L32" s="16" t="s">
        <v>89</v>
      </c>
      <c r="M32" s="16"/>
      <c r="N32" s="17"/>
    </row>
    <row r="33" spans="2:14" x14ac:dyDescent="0.25">
      <c r="B33" s="7">
        <v>24</v>
      </c>
      <c r="C33" s="22"/>
      <c r="D33" s="9" t="s">
        <v>702</v>
      </c>
      <c r="E33" s="23" t="s">
        <v>703</v>
      </c>
      <c r="F33" s="24" t="s">
        <v>678</v>
      </c>
      <c r="G33" s="25">
        <v>46141</v>
      </c>
      <c r="H33" s="25">
        <v>46154</v>
      </c>
      <c r="I33" s="26">
        <v>130500</v>
      </c>
      <c r="J33" s="14"/>
      <c r="K33" s="15">
        <f t="shared" si="3"/>
        <v>130500</v>
      </c>
      <c r="L33" s="16" t="s">
        <v>89</v>
      </c>
      <c r="M33" s="16"/>
      <c r="N33" s="17"/>
    </row>
    <row r="34" spans="2:14" x14ac:dyDescent="0.25">
      <c r="B34" s="7">
        <v>25</v>
      </c>
      <c r="C34" s="22"/>
      <c r="D34" s="9" t="s">
        <v>704</v>
      </c>
      <c r="E34" s="23" t="s">
        <v>683</v>
      </c>
      <c r="F34" s="24" t="s">
        <v>677</v>
      </c>
      <c r="G34" s="25">
        <v>46141</v>
      </c>
      <c r="H34" s="25">
        <v>46154</v>
      </c>
      <c r="I34" s="26">
        <v>342750</v>
      </c>
      <c r="J34" s="14"/>
      <c r="K34" s="15">
        <f t="shared" ref="K34" si="4">I34</f>
        <v>342750</v>
      </c>
      <c r="L34" s="16" t="s">
        <v>89</v>
      </c>
      <c r="M34" s="16"/>
      <c r="N34" s="17"/>
    </row>
    <row r="35" spans="2:14" x14ac:dyDescent="0.25">
      <c r="B35" s="7">
        <v>26</v>
      </c>
      <c r="C35" s="22"/>
      <c r="D35" s="9" t="s">
        <v>730</v>
      </c>
      <c r="E35" s="23" t="s">
        <v>731</v>
      </c>
      <c r="F35" s="24" t="s">
        <v>119</v>
      </c>
      <c r="G35" s="25">
        <v>46139</v>
      </c>
      <c r="H35" s="25">
        <f>G35+12</f>
        <v>46151</v>
      </c>
      <c r="I35" s="26">
        <v>347400</v>
      </c>
      <c r="J35" s="14"/>
      <c r="K35" s="15">
        <v>147400</v>
      </c>
      <c r="L35" s="16" t="s">
        <v>235</v>
      </c>
      <c r="M35" s="16"/>
      <c r="N35" s="17"/>
    </row>
    <row r="36" spans="2:14" ht="15.75" x14ac:dyDescent="0.25">
      <c r="B36" s="143" t="s">
        <v>12</v>
      </c>
      <c r="C36" s="144"/>
      <c r="D36" s="144"/>
      <c r="E36" s="144"/>
      <c r="F36" s="144"/>
      <c r="G36" s="144"/>
      <c r="H36" s="144"/>
      <c r="I36" s="170"/>
      <c r="J36" s="18">
        <f>SUM(J18:J35)</f>
        <v>3310500</v>
      </c>
      <c r="K36" s="19">
        <f>SUM(K18:K35)</f>
        <v>2373786</v>
      </c>
      <c r="L36" s="28"/>
      <c r="M36" s="29">
        <f>SUM(J36+K36)</f>
        <v>5684286</v>
      </c>
      <c r="N36" s="21"/>
    </row>
    <row r="37" spans="2:14" ht="15.75" x14ac:dyDescent="0.25">
      <c r="B37" s="147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71"/>
    </row>
    <row r="38" spans="2:14" ht="15.75" x14ac:dyDescent="0.25">
      <c r="B38" s="67">
        <v>1</v>
      </c>
      <c r="C38" s="31" t="s">
        <v>22</v>
      </c>
      <c r="D38" s="55" t="s">
        <v>705</v>
      </c>
      <c r="E38" s="71" t="s">
        <v>706</v>
      </c>
      <c r="F38" s="71" t="s">
        <v>707</v>
      </c>
      <c r="G38" s="68">
        <v>46141</v>
      </c>
      <c r="H38" s="68">
        <v>46154</v>
      </c>
      <c r="I38" s="69">
        <v>430200</v>
      </c>
      <c r="J38" s="82">
        <f>I38</f>
        <v>430200</v>
      </c>
      <c r="K38" s="79"/>
      <c r="L38" s="16" t="s">
        <v>89</v>
      </c>
      <c r="M38" s="67"/>
      <c r="N38" s="65"/>
    </row>
    <row r="39" spans="2:14" ht="15.75" x14ac:dyDescent="0.25">
      <c r="B39" s="67">
        <v>2</v>
      </c>
      <c r="C39" s="67"/>
      <c r="D39" s="55" t="s">
        <v>708</v>
      </c>
      <c r="E39" s="71" t="s">
        <v>709</v>
      </c>
      <c r="F39" s="71" t="s">
        <v>710</v>
      </c>
      <c r="G39" s="68">
        <v>46141</v>
      </c>
      <c r="H39" s="68">
        <v>46154</v>
      </c>
      <c r="I39" s="69">
        <v>215100</v>
      </c>
      <c r="J39" s="82">
        <f t="shared" ref="J39:J42" si="5">I39</f>
        <v>215100</v>
      </c>
      <c r="K39" s="79"/>
      <c r="L39" s="16" t="s">
        <v>89</v>
      </c>
      <c r="M39" s="67"/>
      <c r="N39" s="65"/>
    </row>
    <row r="40" spans="2:14" ht="15.75" x14ac:dyDescent="0.25">
      <c r="B40" s="67">
        <v>3</v>
      </c>
      <c r="C40" s="67"/>
      <c r="D40" s="55" t="s">
        <v>711</v>
      </c>
      <c r="E40" s="71" t="s">
        <v>712</v>
      </c>
      <c r="F40" s="71" t="s">
        <v>713</v>
      </c>
      <c r="G40" s="68">
        <v>46141</v>
      </c>
      <c r="H40" s="68">
        <v>46154</v>
      </c>
      <c r="I40" s="69">
        <v>327900</v>
      </c>
      <c r="J40" s="82">
        <f t="shared" si="5"/>
        <v>327900</v>
      </c>
      <c r="K40" s="79"/>
      <c r="L40" s="16" t="s">
        <v>89</v>
      </c>
      <c r="M40" s="67"/>
      <c r="N40" s="65"/>
    </row>
    <row r="41" spans="2:14" ht="15.75" x14ac:dyDescent="0.25">
      <c r="B41" s="67">
        <v>4</v>
      </c>
      <c r="C41" s="67"/>
      <c r="D41" s="55" t="s">
        <v>714</v>
      </c>
      <c r="E41" s="71" t="s">
        <v>715</v>
      </c>
      <c r="F41" s="71" t="s">
        <v>716</v>
      </c>
      <c r="G41" s="68">
        <v>46141</v>
      </c>
      <c r="H41" s="68">
        <v>46154</v>
      </c>
      <c r="I41" s="69">
        <v>887400</v>
      </c>
      <c r="J41" s="82">
        <f t="shared" si="5"/>
        <v>887400</v>
      </c>
      <c r="K41" s="79"/>
      <c r="L41" s="16" t="s">
        <v>89</v>
      </c>
      <c r="M41" s="67"/>
      <c r="N41" s="65"/>
    </row>
    <row r="42" spans="2:14" ht="15.75" x14ac:dyDescent="0.25">
      <c r="B42" s="67">
        <v>5</v>
      </c>
      <c r="C42" s="67"/>
      <c r="D42" s="55" t="s">
        <v>717</v>
      </c>
      <c r="E42" s="71" t="s">
        <v>718</v>
      </c>
      <c r="F42" s="71" t="s">
        <v>719</v>
      </c>
      <c r="G42" s="68">
        <v>46141</v>
      </c>
      <c r="H42" s="68">
        <v>46154</v>
      </c>
      <c r="I42" s="69">
        <v>860400</v>
      </c>
      <c r="J42" s="82">
        <f t="shared" si="5"/>
        <v>860400</v>
      </c>
      <c r="K42" s="79"/>
      <c r="L42" s="16" t="s">
        <v>89</v>
      </c>
      <c r="M42" s="67"/>
      <c r="N42" s="65"/>
    </row>
    <row r="43" spans="2:14" ht="15.75" x14ac:dyDescent="0.25">
      <c r="B43" s="157" t="s">
        <v>12</v>
      </c>
      <c r="C43" s="158"/>
      <c r="D43" s="158"/>
      <c r="E43" s="158"/>
      <c r="F43" s="158"/>
      <c r="G43" s="158"/>
      <c r="H43" s="158"/>
      <c r="I43" s="159"/>
      <c r="J43" s="60">
        <f>SUM(J38:J42)</f>
        <v>2721000</v>
      </c>
      <c r="K43" s="61">
        <f>SUM(K38:K42)</f>
        <v>0</v>
      </c>
      <c r="L43" s="62"/>
      <c r="M43" s="63">
        <f>SUM(K43+J43)</f>
        <v>2721000</v>
      </c>
      <c r="N43" s="64"/>
    </row>
    <row r="44" spans="2:14" x14ac:dyDescent="0.25">
      <c r="D44" s="42"/>
      <c r="I44" s="43"/>
      <c r="N44" s="44"/>
    </row>
    <row r="45" spans="2:14" x14ac:dyDescent="0.25">
      <c r="D45" s="42"/>
      <c r="I45" s="43"/>
      <c r="N45" s="44"/>
    </row>
    <row r="46" spans="2:14" ht="15.75" x14ac:dyDescent="0.25">
      <c r="D46" s="42"/>
      <c r="G46" s="150" t="s">
        <v>23</v>
      </c>
      <c r="H46" s="150"/>
      <c r="I46" s="150"/>
      <c r="J46" s="18">
        <f>SUM(J43+J36+J16)</f>
        <v>7274000</v>
      </c>
      <c r="K46" s="40">
        <f>SUM(K43+K36+K16)</f>
        <v>5147786</v>
      </c>
      <c r="L46" s="28"/>
      <c r="M46" s="28"/>
      <c r="N46" s="21">
        <f>SUM(J46+K46)</f>
        <v>12421786</v>
      </c>
    </row>
    <row r="47" spans="2:14" x14ac:dyDescent="0.25">
      <c r="D47" s="42"/>
      <c r="I47" s="43"/>
      <c r="N47" s="44"/>
    </row>
    <row r="48" spans="2:14" x14ac:dyDescent="0.25">
      <c r="B48" s="160" t="s">
        <v>24</v>
      </c>
      <c r="C48" s="160"/>
      <c r="D48" s="160"/>
      <c r="I48" s="43"/>
      <c r="N48" s="44"/>
    </row>
    <row r="49" spans="2:14" ht="15.75" x14ac:dyDescent="0.25">
      <c r="B49" s="154" t="s">
        <v>3</v>
      </c>
      <c r="C49" s="161" t="s">
        <v>25</v>
      </c>
      <c r="D49" s="154" t="s">
        <v>5</v>
      </c>
      <c r="E49" s="154" t="s">
        <v>6</v>
      </c>
      <c r="F49" s="154" t="s">
        <v>7</v>
      </c>
      <c r="G49" s="154" t="s">
        <v>8</v>
      </c>
      <c r="H49" s="154" t="s">
        <v>9</v>
      </c>
      <c r="I49" s="161" t="s">
        <v>26</v>
      </c>
      <c r="J49" s="143" t="s">
        <v>11</v>
      </c>
      <c r="K49" s="144"/>
      <c r="L49" s="170"/>
      <c r="M49" s="133" t="s">
        <v>12</v>
      </c>
      <c r="N49" s="154" t="s">
        <v>13</v>
      </c>
    </row>
    <row r="50" spans="2:14" ht="15.75" x14ac:dyDescent="0.25">
      <c r="B50" s="155"/>
      <c r="C50" s="162"/>
      <c r="D50" s="155"/>
      <c r="E50" s="155"/>
      <c r="F50" s="155"/>
      <c r="G50" s="155"/>
      <c r="H50" s="155"/>
      <c r="I50" s="162"/>
      <c r="J50" s="4" t="s">
        <v>14</v>
      </c>
      <c r="K50" s="5" t="s">
        <v>15</v>
      </c>
      <c r="L50" s="6" t="s">
        <v>16</v>
      </c>
      <c r="M50" s="134"/>
      <c r="N50" s="155"/>
    </row>
    <row r="51" spans="2:14" ht="15" customHeight="1" x14ac:dyDescent="0.25">
      <c r="B51" s="27">
        <v>1</v>
      </c>
      <c r="C51" s="31" t="s">
        <v>88</v>
      </c>
      <c r="D51" s="45" t="s">
        <v>720</v>
      </c>
      <c r="E51" s="46" t="s">
        <v>621</v>
      </c>
      <c r="F51" s="46" t="s">
        <v>622</v>
      </c>
      <c r="G51" s="47">
        <v>46154</v>
      </c>
      <c r="H51" s="47"/>
      <c r="I51" s="48">
        <v>1614500</v>
      </c>
      <c r="J51" s="49">
        <f>I51</f>
        <v>1614500</v>
      </c>
      <c r="K51" s="50"/>
      <c r="L51" s="16" t="s">
        <v>89</v>
      </c>
      <c r="M51" s="17"/>
      <c r="N51" s="17"/>
    </row>
    <row r="52" spans="2:14" ht="15" customHeight="1" x14ac:dyDescent="0.25">
      <c r="B52" s="27">
        <v>2</v>
      </c>
      <c r="C52" s="31" t="s">
        <v>88</v>
      </c>
      <c r="D52" s="51" t="s">
        <v>721</v>
      </c>
      <c r="E52" s="51" t="s">
        <v>722</v>
      </c>
      <c r="F52" s="17" t="s">
        <v>689</v>
      </c>
      <c r="G52" s="47">
        <v>46154</v>
      </c>
      <c r="H52" s="52"/>
      <c r="I52" s="16">
        <v>1063000</v>
      </c>
      <c r="J52" s="49">
        <f>I52</f>
        <v>1063000</v>
      </c>
      <c r="K52" s="50"/>
      <c r="L52" s="16" t="s">
        <v>89</v>
      </c>
      <c r="M52" s="17"/>
      <c r="N52" s="17"/>
    </row>
    <row r="53" spans="2:14" ht="15" customHeight="1" x14ac:dyDescent="0.25">
      <c r="B53" s="27">
        <v>3</v>
      </c>
      <c r="C53" s="31" t="s">
        <v>88</v>
      </c>
      <c r="D53" s="51" t="s">
        <v>732</v>
      </c>
      <c r="E53" s="51" t="s">
        <v>621</v>
      </c>
      <c r="F53" s="17" t="s">
        <v>622</v>
      </c>
      <c r="G53" s="47">
        <v>46154</v>
      </c>
      <c r="H53" s="52"/>
      <c r="I53" s="16">
        <v>78000</v>
      </c>
      <c r="J53" s="49"/>
      <c r="K53" s="15">
        <f>I53</f>
        <v>78000</v>
      </c>
      <c r="L53" s="16"/>
      <c r="M53" s="17"/>
      <c r="N53" s="17"/>
    </row>
    <row r="54" spans="2:14" ht="15.75" x14ac:dyDescent="0.25">
      <c r="B54" s="122" t="s">
        <v>27</v>
      </c>
      <c r="C54" s="123"/>
      <c r="D54" s="123"/>
      <c r="E54" s="123"/>
      <c r="F54" s="123"/>
      <c r="G54" s="123"/>
      <c r="H54" s="123"/>
      <c r="I54" s="124"/>
      <c r="J54" s="39">
        <f>SUM(J51:J53)</f>
        <v>2677500</v>
      </c>
      <c r="K54" s="40">
        <f>SUM(K51:K53)</f>
        <v>78000</v>
      </c>
      <c r="L54" s="28"/>
      <c r="M54" s="41">
        <f>SUM(J54+K54)</f>
        <v>2755500</v>
      </c>
      <c r="N54" s="53"/>
    </row>
    <row r="55" spans="2:14" ht="15.75" x14ac:dyDescent="0.25">
      <c r="B55" s="139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63"/>
    </row>
    <row r="56" spans="2:14" x14ac:dyDescent="0.25">
      <c r="B56" s="55">
        <v>1</v>
      </c>
      <c r="C56" s="8" t="s">
        <v>87</v>
      </c>
      <c r="D56" s="51" t="s">
        <v>723</v>
      </c>
      <c r="E56" s="51" t="s">
        <v>724</v>
      </c>
      <c r="F56" s="17" t="s">
        <v>725</v>
      </c>
      <c r="G56" s="47">
        <v>46154</v>
      </c>
      <c r="H56" s="52"/>
      <c r="I56" s="16">
        <v>215100</v>
      </c>
      <c r="J56" s="49">
        <f>I56</f>
        <v>215100</v>
      </c>
      <c r="K56" s="50"/>
      <c r="L56" s="16" t="s">
        <v>89</v>
      </c>
      <c r="M56" s="17"/>
      <c r="N56" s="17"/>
    </row>
    <row r="57" spans="2:14" x14ac:dyDescent="0.25">
      <c r="B57" s="55">
        <v>2</v>
      </c>
      <c r="C57" s="8" t="s">
        <v>87</v>
      </c>
      <c r="D57" s="51" t="s">
        <v>726</v>
      </c>
      <c r="E57" s="51" t="s">
        <v>727</v>
      </c>
      <c r="F57" s="17" t="s">
        <v>728</v>
      </c>
      <c r="G57" s="47">
        <v>46154</v>
      </c>
      <c r="H57" s="52"/>
      <c r="I57" s="16">
        <v>968700</v>
      </c>
      <c r="J57" s="49">
        <f>I57</f>
        <v>968700</v>
      </c>
      <c r="K57" s="15"/>
      <c r="L57" s="16" t="s">
        <v>89</v>
      </c>
      <c r="M57" s="17"/>
      <c r="N57" s="17"/>
    </row>
    <row r="58" spans="2:14" x14ac:dyDescent="0.25">
      <c r="B58" s="55">
        <v>3</v>
      </c>
      <c r="C58" s="8" t="s">
        <v>87</v>
      </c>
      <c r="D58" s="51" t="s">
        <v>729</v>
      </c>
      <c r="E58" s="51" t="s">
        <v>727</v>
      </c>
      <c r="F58" s="17" t="s">
        <v>728</v>
      </c>
      <c r="G58" s="47">
        <v>46154</v>
      </c>
      <c r="H58" s="52"/>
      <c r="I58" s="16">
        <v>205556</v>
      </c>
      <c r="J58" s="49"/>
      <c r="K58" s="15">
        <f>I58</f>
        <v>205556</v>
      </c>
      <c r="L58" s="16" t="s">
        <v>89</v>
      </c>
      <c r="M58" s="17"/>
      <c r="N58" s="17"/>
    </row>
    <row r="59" spans="2:14" ht="15.75" x14ac:dyDescent="0.25">
      <c r="B59" s="122" t="s">
        <v>27</v>
      </c>
      <c r="C59" s="123"/>
      <c r="D59" s="123"/>
      <c r="E59" s="123"/>
      <c r="F59" s="123"/>
      <c r="G59" s="123"/>
      <c r="H59" s="123"/>
      <c r="I59" s="124"/>
      <c r="J59" s="39">
        <f>SUM(J56:J58)</f>
        <v>1183800</v>
      </c>
      <c r="K59" s="40">
        <f>SUM(K56:K58)</f>
        <v>205556</v>
      </c>
      <c r="L59" s="28"/>
      <c r="M59" s="41">
        <f>SUM(J59+K59)</f>
        <v>1389356</v>
      </c>
      <c r="N59" s="53"/>
    </row>
    <row r="60" spans="2:14" x14ac:dyDescent="0.25">
      <c r="D60" s="42"/>
      <c r="I60" s="43"/>
    </row>
    <row r="61" spans="2:14" ht="15.75" x14ac:dyDescent="0.25">
      <c r="D61" s="42"/>
      <c r="H61" s="122" t="s">
        <v>28</v>
      </c>
      <c r="I61" s="124"/>
      <c r="J61" s="39">
        <f>SUM(J59+J54)</f>
        <v>3861300</v>
      </c>
      <c r="K61" s="40">
        <f>SUM(K59+K54)</f>
        <v>283556</v>
      </c>
      <c r="L61" s="28"/>
      <c r="M61" s="54"/>
      <c r="N61" s="21">
        <f>SUM(M59+M54)</f>
        <v>4144856</v>
      </c>
    </row>
    <row r="62" spans="2:14" x14ac:dyDescent="0.25">
      <c r="D62" s="42"/>
      <c r="I62" s="43"/>
    </row>
    <row r="63" spans="2:14" x14ac:dyDescent="0.25">
      <c r="D63" s="42"/>
      <c r="H63" s="125" t="s">
        <v>29</v>
      </c>
      <c r="I63" s="126"/>
      <c r="J63" s="56" t="s">
        <v>14</v>
      </c>
      <c r="K63" s="57" t="s">
        <v>15</v>
      </c>
      <c r="L63" s="17"/>
      <c r="M63" s="17"/>
      <c r="N63" s="17"/>
    </row>
    <row r="64" spans="2:14" ht="15.75" x14ac:dyDescent="0.25">
      <c r="D64" s="42"/>
      <c r="H64" s="129"/>
      <c r="I64" s="130"/>
      <c r="J64" s="39">
        <f>SUM(J61+J46)</f>
        <v>11135300</v>
      </c>
      <c r="K64" s="40">
        <f>SUM(K61+K46)</f>
        <v>5431342</v>
      </c>
      <c r="L64" s="28"/>
      <c r="M64" s="28"/>
      <c r="N64" s="58">
        <f>SUM(K64+J64)</f>
        <v>16566642</v>
      </c>
    </row>
    <row r="65" spans="4:14" x14ac:dyDescent="0.25">
      <c r="D65" s="42"/>
      <c r="I65" s="43"/>
      <c r="N65" s="59"/>
    </row>
    <row r="66" spans="4:14" x14ac:dyDescent="0.25">
      <c r="D66" s="2" t="s">
        <v>30</v>
      </c>
      <c r="E66" s="1"/>
      <c r="F66" s="1"/>
      <c r="G66" s="1"/>
      <c r="H66" s="1"/>
      <c r="I66" s="1"/>
      <c r="J66" s="1"/>
    </row>
    <row r="67" spans="4:14" x14ac:dyDescent="0.25">
      <c r="D67" s="2"/>
      <c r="E67" s="1"/>
      <c r="F67" s="1"/>
      <c r="G67" s="1"/>
      <c r="H67" s="1"/>
      <c r="I67" s="1"/>
      <c r="J67" s="1"/>
    </row>
    <row r="68" spans="4:14" x14ac:dyDescent="0.25">
      <c r="D68" s="3" t="s">
        <v>31</v>
      </c>
      <c r="E68" s="3"/>
      <c r="F68" s="3" t="s">
        <v>32</v>
      </c>
      <c r="G68" s="3"/>
      <c r="H68" s="3" t="s">
        <v>33</v>
      </c>
      <c r="I68" s="3"/>
      <c r="J68" s="3" t="s">
        <v>34</v>
      </c>
    </row>
    <row r="69" spans="4:14" x14ac:dyDescent="0.25">
      <c r="D69" s="3"/>
      <c r="E69" s="3"/>
      <c r="F69" s="3"/>
      <c r="G69" s="3"/>
      <c r="H69" s="3"/>
      <c r="I69" s="3"/>
      <c r="J69" s="3"/>
    </row>
    <row r="70" spans="4:14" x14ac:dyDescent="0.25">
      <c r="D70" s="3"/>
      <c r="E70" s="3"/>
      <c r="F70" s="3"/>
      <c r="G70" s="3"/>
      <c r="H70" s="3"/>
      <c r="I70" s="3"/>
      <c r="J70" s="3"/>
    </row>
    <row r="71" spans="4:14" x14ac:dyDescent="0.25">
      <c r="D71" s="3"/>
      <c r="E71" s="3"/>
      <c r="F71" s="3"/>
      <c r="G71" s="3"/>
      <c r="H71" s="3"/>
      <c r="I71" s="3"/>
      <c r="J71" s="3"/>
    </row>
    <row r="72" spans="4:14" x14ac:dyDescent="0.25">
      <c r="D72" s="3" t="s">
        <v>35</v>
      </c>
      <c r="E72" s="3"/>
      <c r="F72" s="3" t="s">
        <v>36</v>
      </c>
      <c r="G72" s="3"/>
      <c r="H72" s="3" t="s">
        <v>36</v>
      </c>
      <c r="I72" s="3"/>
      <c r="J72" s="3" t="s">
        <v>37</v>
      </c>
    </row>
    <row r="73" spans="4:14" x14ac:dyDescent="0.25">
      <c r="D73" s="42"/>
    </row>
    <row r="74" spans="4:14" x14ac:dyDescent="0.25">
      <c r="D74" s="42"/>
    </row>
    <row r="75" spans="4:14" x14ac:dyDescent="0.25">
      <c r="D75" s="42"/>
    </row>
    <row r="76" spans="4:14" x14ac:dyDescent="0.25">
      <c r="D76" s="42"/>
    </row>
    <row r="77" spans="4:14" x14ac:dyDescent="0.25">
      <c r="D77" s="42"/>
    </row>
  </sheetData>
  <mergeCells count="37">
    <mergeCell ref="B17:N17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6:I16"/>
    <mergeCell ref="N49:N50"/>
    <mergeCell ref="B36:I36"/>
    <mergeCell ref="B37:N37"/>
    <mergeCell ref="B43:I43"/>
    <mergeCell ref="G46:I46"/>
    <mergeCell ref="B48:D48"/>
    <mergeCell ref="B49:B50"/>
    <mergeCell ref="C49:C50"/>
    <mergeCell ref="D49:D50"/>
    <mergeCell ref="E49:E50"/>
    <mergeCell ref="F49:F50"/>
    <mergeCell ref="G49:G50"/>
    <mergeCell ref="H49:H50"/>
    <mergeCell ref="I49:I50"/>
    <mergeCell ref="J49:L49"/>
    <mergeCell ref="M49:M50"/>
    <mergeCell ref="B54:I54"/>
    <mergeCell ref="B55:N55"/>
    <mergeCell ref="B59:I59"/>
    <mergeCell ref="H61:I61"/>
    <mergeCell ref="H63:I6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23A7-E6AF-475C-8523-0B694876E2C4}">
  <dimension ref="B2:P83"/>
  <sheetViews>
    <sheetView workbookViewId="0">
      <selection activeCell="L41" sqref="L41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733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734</v>
      </c>
      <c r="E8" s="10" t="s">
        <v>735</v>
      </c>
      <c r="F8" s="11" t="s">
        <v>736</v>
      </c>
      <c r="G8" s="12">
        <v>46136</v>
      </c>
      <c r="H8" s="12">
        <v>46149</v>
      </c>
      <c r="I8" s="13">
        <v>1986900</v>
      </c>
      <c r="J8" s="14">
        <f>I8</f>
        <v>1986900</v>
      </c>
      <c r="K8" s="15"/>
      <c r="L8" s="16" t="s">
        <v>89</v>
      </c>
      <c r="M8" s="16"/>
      <c r="N8" s="17"/>
    </row>
    <row r="9" spans="2:16" x14ac:dyDescent="0.25">
      <c r="B9" s="7">
        <v>2</v>
      </c>
      <c r="C9" s="8"/>
      <c r="D9" s="9" t="s">
        <v>738</v>
      </c>
      <c r="E9" s="10" t="s">
        <v>739</v>
      </c>
      <c r="F9" s="11" t="s">
        <v>659</v>
      </c>
      <c r="G9" s="12">
        <v>46141</v>
      </c>
      <c r="H9" s="12">
        <v>46154</v>
      </c>
      <c r="I9" s="13">
        <v>579000</v>
      </c>
      <c r="J9" s="14">
        <f t="shared" ref="J9:J13" si="0">I9</f>
        <v>579000</v>
      </c>
      <c r="K9" s="15"/>
      <c r="L9" s="16" t="s">
        <v>89</v>
      </c>
      <c r="M9" s="16"/>
      <c r="N9" s="17"/>
    </row>
    <row r="10" spans="2:16" x14ac:dyDescent="0.25">
      <c r="B10" s="7">
        <v>3</v>
      </c>
      <c r="C10" s="8"/>
      <c r="D10" s="9" t="s">
        <v>740</v>
      </c>
      <c r="E10" s="10" t="s">
        <v>741</v>
      </c>
      <c r="F10" s="11" t="s">
        <v>658</v>
      </c>
      <c r="G10" s="12">
        <v>46141</v>
      </c>
      <c r="H10" s="12">
        <v>46154</v>
      </c>
      <c r="I10" s="13">
        <v>430200</v>
      </c>
      <c r="J10" s="14">
        <f t="shared" si="0"/>
        <v>430200</v>
      </c>
      <c r="K10" s="15"/>
      <c r="L10" s="16" t="s">
        <v>89</v>
      </c>
      <c r="M10" s="16"/>
      <c r="N10" s="17"/>
    </row>
    <row r="11" spans="2:16" x14ac:dyDescent="0.25">
      <c r="B11" s="7">
        <v>4</v>
      </c>
      <c r="C11" s="8"/>
      <c r="D11" s="9" t="s">
        <v>742</v>
      </c>
      <c r="E11" s="10" t="s">
        <v>743</v>
      </c>
      <c r="F11" s="11" t="s">
        <v>656</v>
      </c>
      <c r="G11" s="12">
        <v>46141</v>
      </c>
      <c r="H11" s="12">
        <v>46154</v>
      </c>
      <c r="I11" s="13">
        <v>215100</v>
      </c>
      <c r="J11" s="14">
        <f t="shared" si="0"/>
        <v>215100</v>
      </c>
      <c r="K11" s="15"/>
      <c r="L11" s="16" t="s">
        <v>89</v>
      </c>
      <c r="M11" s="16"/>
      <c r="N11" s="17"/>
    </row>
    <row r="12" spans="2:16" x14ac:dyDescent="0.25">
      <c r="B12" s="7">
        <v>5</v>
      </c>
      <c r="C12" s="8"/>
      <c r="D12" s="9" t="s">
        <v>744</v>
      </c>
      <c r="E12" s="10" t="s">
        <v>745</v>
      </c>
      <c r="F12" s="11" t="s">
        <v>746</v>
      </c>
      <c r="G12" s="12">
        <v>46142</v>
      </c>
      <c r="H12" s="12">
        <v>46155</v>
      </c>
      <c r="I12" s="13">
        <v>860400</v>
      </c>
      <c r="J12" s="14">
        <f t="shared" si="0"/>
        <v>860400</v>
      </c>
      <c r="K12" s="15"/>
      <c r="L12" s="16" t="s">
        <v>89</v>
      </c>
      <c r="M12" s="16"/>
      <c r="N12" s="17"/>
    </row>
    <row r="13" spans="2:16" x14ac:dyDescent="0.25">
      <c r="B13" s="7">
        <v>6</v>
      </c>
      <c r="C13" s="8"/>
      <c r="D13" s="9" t="s">
        <v>747</v>
      </c>
      <c r="E13" s="10" t="s">
        <v>748</v>
      </c>
      <c r="F13" s="11" t="s">
        <v>749</v>
      </c>
      <c r="G13" s="12">
        <v>46142</v>
      </c>
      <c r="H13" s="12">
        <v>46155</v>
      </c>
      <c r="I13" s="13">
        <v>1413900</v>
      </c>
      <c r="J13" s="14">
        <f t="shared" si="0"/>
        <v>1413900</v>
      </c>
      <c r="K13" s="15"/>
      <c r="L13" s="16" t="s">
        <v>89</v>
      </c>
      <c r="M13" s="16"/>
      <c r="N13" s="17"/>
    </row>
    <row r="14" spans="2:16" x14ac:dyDescent="0.25">
      <c r="B14" s="7">
        <v>7</v>
      </c>
      <c r="C14" s="8"/>
      <c r="D14" s="9" t="s">
        <v>750</v>
      </c>
      <c r="E14" s="10" t="s">
        <v>751</v>
      </c>
      <c r="F14" s="11" t="s">
        <v>752</v>
      </c>
      <c r="G14" s="12">
        <v>46142</v>
      </c>
      <c r="H14" s="12">
        <v>46155</v>
      </c>
      <c r="I14" s="13">
        <v>1639500</v>
      </c>
      <c r="J14" s="14">
        <v>1000000</v>
      </c>
      <c r="K14" s="15"/>
      <c r="L14" s="16" t="s">
        <v>235</v>
      </c>
      <c r="M14" s="16"/>
      <c r="N14" s="17"/>
    </row>
    <row r="15" spans="2:16" x14ac:dyDescent="0.25">
      <c r="B15" s="7">
        <v>8</v>
      </c>
      <c r="C15" s="8"/>
      <c r="D15" s="9" t="s">
        <v>753</v>
      </c>
      <c r="E15" s="10" t="s">
        <v>737</v>
      </c>
      <c r="F15" s="11" t="s">
        <v>656</v>
      </c>
      <c r="G15" s="12">
        <v>46141</v>
      </c>
      <c r="H15" s="12">
        <v>46154</v>
      </c>
      <c r="I15" s="13">
        <v>342780</v>
      </c>
      <c r="J15" s="14"/>
      <c r="K15" s="15">
        <f>I15</f>
        <v>342780</v>
      </c>
      <c r="L15" s="16" t="s">
        <v>89</v>
      </c>
      <c r="M15" s="16"/>
      <c r="N15" s="17"/>
    </row>
    <row r="16" spans="2:16" x14ac:dyDescent="0.25">
      <c r="B16" s="7">
        <v>9</v>
      </c>
      <c r="C16" s="8"/>
      <c r="D16" s="9" t="s">
        <v>754</v>
      </c>
      <c r="E16" s="10" t="s">
        <v>743</v>
      </c>
      <c r="F16" s="11" t="s">
        <v>656</v>
      </c>
      <c r="G16" s="12">
        <v>46141</v>
      </c>
      <c r="H16" s="12">
        <v>46154</v>
      </c>
      <c r="I16" s="13">
        <v>26400</v>
      </c>
      <c r="J16" s="14"/>
      <c r="K16" s="15">
        <f t="shared" ref="K16:K17" si="1">I16</f>
        <v>26400</v>
      </c>
      <c r="L16" s="16" t="s">
        <v>89</v>
      </c>
      <c r="M16" s="16"/>
      <c r="N16" s="17"/>
    </row>
    <row r="17" spans="2:14" x14ac:dyDescent="0.25">
      <c r="B17" s="7">
        <v>10</v>
      </c>
      <c r="C17" s="8"/>
      <c r="D17" s="9" t="s">
        <v>755</v>
      </c>
      <c r="E17" s="10" t="s">
        <v>756</v>
      </c>
      <c r="F17" s="11" t="s">
        <v>257</v>
      </c>
      <c r="G17" s="12">
        <v>46142</v>
      </c>
      <c r="H17" s="12">
        <v>46155</v>
      </c>
      <c r="I17" s="13">
        <v>1050000</v>
      </c>
      <c r="J17" s="14"/>
      <c r="K17" s="15">
        <f t="shared" si="1"/>
        <v>1050000</v>
      </c>
      <c r="L17" s="16" t="s">
        <v>89</v>
      </c>
      <c r="M17" s="16"/>
      <c r="N17" s="17"/>
    </row>
    <row r="18" spans="2:14" x14ac:dyDescent="0.25">
      <c r="B18" s="7">
        <v>11</v>
      </c>
      <c r="C18" s="8"/>
      <c r="D18" s="9" t="s">
        <v>773</v>
      </c>
      <c r="E18" s="23" t="s">
        <v>774</v>
      </c>
      <c r="F18" s="24" t="s">
        <v>42</v>
      </c>
      <c r="G18" s="25">
        <v>46086</v>
      </c>
      <c r="H18" s="25">
        <v>46099</v>
      </c>
      <c r="I18" s="26">
        <v>879600</v>
      </c>
      <c r="J18" s="14"/>
      <c r="K18" s="15">
        <v>600000</v>
      </c>
      <c r="L18" s="16" t="s">
        <v>235</v>
      </c>
      <c r="M18" s="16"/>
      <c r="N18" s="17"/>
    </row>
    <row r="19" spans="2:14" ht="15.75" x14ac:dyDescent="0.25">
      <c r="B19" s="122" t="s">
        <v>12</v>
      </c>
      <c r="C19" s="123"/>
      <c r="D19" s="123"/>
      <c r="E19" s="123"/>
      <c r="F19" s="123"/>
      <c r="G19" s="123"/>
      <c r="H19" s="123"/>
      <c r="I19" s="124"/>
      <c r="J19" s="18">
        <f>SUM(J8:J18)</f>
        <v>6485500</v>
      </c>
      <c r="K19" s="19">
        <f>SUM(K8:K18)</f>
        <v>2019180</v>
      </c>
      <c r="L19" s="20"/>
      <c r="M19" s="21">
        <f>SUM(J19+K19)</f>
        <v>8504680</v>
      </c>
      <c r="N19" s="21"/>
    </row>
    <row r="20" spans="2:14" ht="15.75" x14ac:dyDescent="0.25">
      <c r="B20" s="141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72"/>
    </row>
    <row r="21" spans="2:14" x14ac:dyDescent="0.25">
      <c r="B21" s="7">
        <v>1</v>
      </c>
      <c r="C21" s="22" t="s">
        <v>21</v>
      </c>
      <c r="D21" s="9" t="s">
        <v>757</v>
      </c>
      <c r="E21" s="23" t="s">
        <v>758</v>
      </c>
      <c r="F21" s="24" t="s">
        <v>759</v>
      </c>
      <c r="G21" s="25">
        <v>46141</v>
      </c>
      <c r="H21" s="25">
        <v>46154</v>
      </c>
      <c r="I21" s="26">
        <v>327900</v>
      </c>
      <c r="J21" s="14">
        <f>I21</f>
        <v>327900</v>
      </c>
      <c r="K21" s="15"/>
      <c r="L21" s="16" t="s">
        <v>89</v>
      </c>
      <c r="M21" s="16"/>
      <c r="N21" s="17"/>
    </row>
    <row r="22" spans="2:14" x14ac:dyDescent="0.25">
      <c r="B22" s="7">
        <v>2</v>
      </c>
      <c r="C22" s="22"/>
      <c r="D22" s="9" t="s">
        <v>760</v>
      </c>
      <c r="E22" s="23" t="s">
        <v>761</v>
      </c>
      <c r="F22" s="24" t="s">
        <v>678</v>
      </c>
      <c r="G22" s="25">
        <v>46141</v>
      </c>
      <c r="H22" s="25">
        <v>46154</v>
      </c>
      <c r="I22" s="26">
        <v>341400</v>
      </c>
      <c r="J22" s="14">
        <f t="shared" ref="J22:J26" si="2">I22</f>
        <v>341400</v>
      </c>
      <c r="K22" s="15"/>
      <c r="L22" s="16" t="s">
        <v>89</v>
      </c>
      <c r="M22" s="16"/>
      <c r="N22" s="17"/>
    </row>
    <row r="23" spans="2:14" x14ac:dyDescent="0.25">
      <c r="B23" s="7">
        <v>3</v>
      </c>
      <c r="C23" s="22"/>
      <c r="D23" s="9" t="s">
        <v>762</v>
      </c>
      <c r="E23" s="23" t="s">
        <v>763</v>
      </c>
      <c r="F23" s="24" t="s">
        <v>679</v>
      </c>
      <c r="G23" s="25">
        <v>46141</v>
      </c>
      <c r="H23" s="25">
        <v>46154</v>
      </c>
      <c r="I23" s="26">
        <v>430200</v>
      </c>
      <c r="J23" s="14">
        <f t="shared" si="2"/>
        <v>430200</v>
      </c>
      <c r="K23" s="15"/>
      <c r="L23" s="16" t="s">
        <v>89</v>
      </c>
      <c r="M23" s="16"/>
      <c r="N23" s="17"/>
    </row>
    <row r="24" spans="2:14" x14ac:dyDescent="0.25">
      <c r="B24" s="7">
        <v>4</v>
      </c>
      <c r="C24" s="22"/>
      <c r="D24" s="9" t="s">
        <v>764</v>
      </c>
      <c r="E24" s="23" t="s">
        <v>765</v>
      </c>
      <c r="F24" s="24" t="s">
        <v>766</v>
      </c>
      <c r="G24" s="25">
        <v>46142</v>
      </c>
      <c r="H24" s="25">
        <v>46155</v>
      </c>
      <c r="I24" s="26">
        <v>543000</v>
      </c>
      <c r="J24" s="14">
        <f t="shared" si="2"/>
        <v>543000</v>
      </c>
      <c r="K24" s="15"/>
      <c r="L24" s="16" t="s">
        <v>89</v>
      </c>
      <c r="M24" s="16"/>
      <c r="N24" s="17"/>
    </row>
    <row r="25" spans="2:14" x14ac:dyDescent="0.25">
      <c r="B25" s="7">
        <v>5</v>
      </c>
      <c r="C25" s="22"/>
      <c r="D25" s="9" t="s">
        <v>767</v>
      </c>
      <c r="E25" s="23" t="s">
        <v>768</v>
      </c>
      <c r="F25" s="24" t="s">
        <v>766</v>
      </c>
      <c r="G25" s="25">
        <v>46142</v>
      </c>
      <c r="H25" s="25">
        <v>46155</v>
      </c>
      <c r="I25" s="26">
        <v>215100</v>
      </c>
      <c r="J25" s="14">
        <f t="shared" si="2"/>
        <v>215100</v>
      </c>
      <c r="K25" s="15"/>
      <c r="L25" s="16" t="s">
        <v>89</v>
      </c>
      <c r="M25" s="16"/>
      <c r="N25" s="17"/>
    </row>
    <row r="26" spans="2:14" x14ac:dyDescent="0.25">
      <c r="B26" s="7">
        <v>6</v>
      </c>
      <c r="C26" s="22"/>
      <c r="D26" s="9" t="s">
        <v>771</v>
      </c>
      <c r="E26" s="23" t="s">
        <v>772</v>
      </c>
      <c r="F26" s="24" t="s">
        <v>769</v>
      </c>
      <c r="G26" s="25">
        <v>46142</v>
      </c>
      <c r="H26" s="25">
        <v>46155</v>
      </c>
      <c r="I26" s="26">
        <v>327900</v>
      </c>
      <c r="J26" s="14">
        <f t="shared" si="2"/>
        <v>327900</v>
      </c>
      <c r="K26" s="15"/>
      <c r="L26" s="16" t="s">
        <v>89</v>
      </c>
      <c r="M26" s="16"/>
      <c r="N26" s="17"/>
    </row>
    <row r="27" spans="2:14" x14ac:dyDescent="0.25">
      <c r="B27" s="7">
        <v>7</v>
      </c>
      <c r="C27" s="22"/>
      <c r="D27" s="9" t="s">
        <v>775</v>
      </c>
      <c r="E27" s="23" t="s">
        <v>776</v>
      </c>
      <c r="F27" s="24" t="s">
        <v>160</v>
      </c>
      <c r="G27" s="25">
        <v>46133</v>
      </c>
      <c r="H27" s="25">
        <v>46146</v>
      </c>
      <c r="I27" s="26">
        <v>304500</v>
      </c>
      <c r="J27" s="14"/>
      <c r="K27" s="15">
        <f t="shared" ref="K27:K33" si="3">I27</f>
        <v>304500</v>
      </c>
      <c r="L27" s="16" t="s">
        <v>89</v>
      </c>
      <c r="M27" s="16"/>
      <c r="N27" s="17"/>
    </row>
    <row r="28" spans="2:14" x14ac:dyDescent="0.25">
      <c r="B28" s="7">
        <v>8</v>
      </c>
      <c r="C28" s="22"/>
      <c r="D28" s="9" t="s">
        <v>777</v>
      </c>
      <c r="E28" s="23" t="s">
        <v>778</v>
      </c>
      <c r="F28" s="24" t="s">
        <v>686</v>
      </c>
      <c r="G28" s="25">
        <v>46141</v>
      </c>
      <c r="H28" s="25">
        <v>46154</v>
      </c>
      <c r="I28" s="26">
        <v>130500</v>
      </c>
      <c r="J28" s="14"/>
      <c r="K28" s="15">
        <f t="shared" si="3"/>
        <v>130500</v>
      </c>
      <c r="L28" s="16" t="s">
        <v>89</v>
      </c>
      <c r="M28" s="16"/>
      <c r="N28" s="17"/>
    </row>
    <row r="29" spans="2:14" x14ac:dyDescent="0.25">
      <c r="B29" s="7">
        <v>9</v>
      </c>
      <c r="C29" s="22"/>
      <c r="D29" s="9" t="s">
        <v>700</v>
      </c>
      <c r="E29" s="23" t="s">
        <v>779</v>
      </c>
      <c r="F29" s="24" t="s">
        <v>677</v>
      </c>
      <c r="G29" s="25">
        <v>46141</v>
      </c>
      <c r="H29" s="25">
        <v>46154</v>
      </c>
      <c r="I29" s="26">
        <v>174000</v>
      </c>
      <c r="J29" s="14"/>
      <c r="K29" s="15">
        <f t="shared" si="3"/>
        <v>174000</v>
      </c>
      <c r="L29" s="16" t="s">
        <v>89</v>
      </c>
      <c r="M29" s="16"/>
      <c r="N29" s="17"/>
    </row>
    <row r="30" spans="2:14" x14ac:dyDescent="0.25">
      <c r="B30" s="7">
        <v>10</v>
      </c>
      <c r="C30" s="22"/>
      <c r="D30" s="9" t="s">
        <v>780</v>
      </c>
      <c r="E30" s="23" t="s">
        <v>761</v>
      </c>
      <c r="F30" s="24" t="s">
        <v>678</v>
      </c>
      <c r="G30" s="25">
        <v>46141</v>
      </c>
      <c r="H30" s="25">
        <v>46154</v>
      </c>
      <c r="I30" s="26">
        <v>144000</v>
      </c>
      <c r="J30" s="14"/>
      <c r="K30" s="15">
        <f t="shared" si="3"/>
        <v>144000</v>
      </c>
      <c r="L30" s="16" t="s">
        <v>89</v>
      </c>
      <c r="M30" s="16"/>
      <c r="N30" s="17"/>
    </row>
    <row r="31" spans="2:14" x14ac:dyDescent="0.25">
      <c r="B31" s="7">
        <v>11</v>
      </c>
      <c r="C31" s="22"/>
      <c r="D31" s="9" t="s">
        <v>781</v>
      </c>
      <c r="E31" s="23" t="s">
        <v>782</v>
      </c>
      <c r="F31" s="24" t="s">
        <v>770</v>
      </c>
      <c r="G31" s="25">
        <v>46142</v>
      </c>
      <c r="H31" s="25">
        <v>46155</v>
      </c>
      <c r="I31" s="26">
        <v>144000</v>
      </c>
      <c r="J31" s="14"/>
      <c r="K31" s="15">
        <f t="shared" si="3"/>
        <v>144000</v>
      </c>
      <c r="L31" s="16" t="s">
        <v>89</v>
      </c>
      <c r="M31" s="16"/>
      <c r="N31" s="17"/>
    </row>
    <row r="32" spans="2:14" x14ac:dyDescent="0.25">
      <c r="B32" s="7">
        <v>12</v>
      </c>
      <c r="C32" s="22"/>
      <c r="D32" s="9" t="s">
        <v>783</v>
      </c>
      <c r="E32" s="23" t="s">
        <v>784</v>
      </c>
      <c r="F32" s="24" t="s">
        <v>769</v>
      </c>
      <c r="G32" s="25">
        <v>46142</v>
      </c>
      <c r="H32" s="25">
        <v>46155</v>
      </c>
      <c r="I32" s="26">
        <v>360000</v>
      </c>
      <c r="J32" s="14"/>
      <c r="K32" s="15">
        <f t="shared" si="3"/>
        <v>360000</v>
      </c>
      <c r="L32" s="16" t="s">
        <v>89</v>
      </c>
      <c r="M32" s="16"/>
      <c r="N32" s="17"/>
    </row>
    <row r="33" spans="2:14" x14ac:dyDescent="0.25">
      <c r="B33" s="7">
        <v>13</v>
      </c>
      <c r="C33" s="22"/>
      <c r="D33" s="9" t="s">
        <v>785</v>
      </c>
      <c r="E33" s="23" t="s">
        <v>768</v>
      </c>
      <c r="F33" s="24" t="s">
        <v>766</v>
      </c>
      <c r="G33" s="25">
        <v>46142</v>
      </c>
      <c r="H33" s="25">
        <v>46155</v>
      </c>
      <c r="I33" s="26">
        <v>105600</v>
      </c>
      <c r="J33" s="14"/>
      <c r="K33" s="15">
        <f t="shared" si="3"/>
        <v>105600</v>
      </c>
      <c r="L33" s="16" t="s">
        <v>89</v>
      </c>
      <c r="M33" s="16"/>
      <c r="N33" s="17"/>
    </row>
    <row r="34" spans="2:14" ht="15.75" x14ac:dyDescent="0.25">
      <c r="B34" s="143" t="s">
        <v>12</v>
      </c>
      <c r="C34" s="144"/>
      <c r="D34" s="144"/>
      <c r="E34" s="144"/>
      <c r="F34" s="144"/>
      <c r="G34" s="144"/>
      <c r="H34" s="144"/>
      <c r="I34" s="170"/>
      <c r="J34" s="18">
        <f>SUM(J21:J33)</f>
        <v>2185500</v>
      </c>
      <c r="K34" s="19">
        <f>SUM(K21:K33)</f>
        <v>1362600</v>
      </c>
      <c r="L34" s="28"/>
      <c r="M34" s="29">
        <f>SUM(J34+K34)</f>
        <v>3548100</v>
      </c>
      <c r="N34" s="21"/>
    </row>
    <row r="35" spans="2:14" ht="15.75" x14ac:dyDescent="0.25">
      <c r="B35" s="147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71"/>
    </row>
    <row r="36" spans="2:14" ht="15.75" x14ac:dyDescent="0.25">
      <c r="B36" s="67">
        <v>1</v>
      </c>
      <c r="C36" s="31" t="s">
        <v>22</v>
      </c>
      <c r="D36" s="55" t="s">
        <v>786</v>
      </c>
      <c r="E36" s="71" t="s">
        <v>131</v>
      </c>
      <c r="F36" s="71" t="s">
        <v>787</v>
      </c>
      <c r="G36" s="68">
        <v>46142</v>
      </c>
      <c r="H36" s="68">
        <v>46155</v>
      </c>
      <c r="I36" s="69">
        <v>430200</v>
      </c>
      <c r="J36" s="82">
        <f>I36</f>
        <v>430200</v>
      </c>
      <c r="K36" s="79"/>
      <c r="L36" s="16" t="s">
        <v>89</v>
      </c>
      <c r="M36" s="67"/>
      <c r="N36" s="65"/>
    </row>
    <row r="37" spans="2:14" ht="15.75" x14ac:dyDescent="0.25">
      <c r="B37" s="67">
        <v>3</v>
      </c>
      <c r="C37" s="67"/>
      <c r="D37" s="55" t="s">
        <v>788</v>
      </c>
      <c r="E37" s="71" t="s">
        <v>789</v>
      </c>
      <c r="F37" s="71" t="s">
        <v>790</v>
      </c>
      <c r="G37" s="68">
        <v>46142</v>
      </c>
      <c r="H37" s="68">
        <v>46155</v>
      </c>
      <c r="I37" s="69">
        <v>215100</v>
      </c>
      <c r="J37" s="82">
        <f t="shared" ref="J37:J43" si="4">I37</f>
        <v>215100</v>
      </c>
      <c r="K37" s="79"/>
      <c r="L37" s="16" t="s">
        <v>89</v>
      </c>
      <c r="M37" s="67"/>
      <c r="N37" s="65"/>
    </row>
    <row r="38" spans="2:14" ht="15.75" x14ac:dyDescent="0.25">
      <c r="B38" s="67">
        <v>4</v>
      </c>
      <c r="C38" s="67"/>
      <c r="D38" s="55" t="s">
        <v>791</v>
      </c>
      <c r="E38" s="71" t="s">
        <v>140</v>
      </c>
      <c r="F38" s="71" t="s">
        <v>790</v>
      </c>
      <c r="G38" s="68">
        <v>46142</v>
      </c>
      <c r="H38" s="68">
        <v>46155</v>
      </c>
      <c r="I38" s="69">
        <v>860400</v>
      </c>
      <c r="J38" s="82">
        <f t="shared" si="4"/>
        <v>860400</v>
      </c>
      <c r="K38" s="79"/>
      <c r="L38" s="16" t="s">
        <v>89</v>
      </c>
      <c r="M38" s="67"/>
      <c r="N38" s="65"/>
    </row>
    <row r="39" spans="2:14" ht="15.75" x14ac:dyDescent="0.25">
      <c r="B39" s="67">
        <v>5</v>
      </c>
      <c r="C39" s="67"/>
      <c r="D39" s="55" t="s">
        <v>792</v>
      </c>
      <c r="E39" s="71" t="s">
        <v>793</v>
      </c>
      <c r="F39" s="71" t="s">
        <v>790</v>
      </c>
      <c r="G39" s="68">
        <v>46142</v>
      </c>
      <c r="H39" s="68">
        <v>46155</v>
      </c>
      <c r="I39" s="69">
        <v>430200</v>
      </c>
      <c r="J39" s="82">
        <f t="shared" si="4"/>
        <v>430200</v>
      </c>
      <c r="K39" s="79"/>
      <c r="L39" s="16" t="s">
        <v>89</v>
      </c>
      <c r="M39" s="67"/>
      <c r="N39" s="65"/>
    </row>
    <row r="40" spans="2:14" ht="15.75" x14ac:dyDescent="0.25">
      <c r="B40" s="67">
        <v>6</v>
      </c>
      <c r="C40" s="67"/>
      <c r="D40" s="55" t="s">
        <v>794</v>
      </c>
      <c r="E40" s="71" t="s">
        <v>795</v>
      </c>
      <c r="F40" s="71" t="s">
        <v>796</v>
      </c>
      <c r="G40" s="68">
        <v>46142</v>
      </c>
      <c r="H40" s="68">
        <v>46155</v>
      </c>
      <c r="I40" s="69">
        <v>112800</v>
      </c>
      <c r="J40" s="82">
        <f t="shared" si="4"/>
        <v>112800</v>
      </c>
      <c r="K40" s="79"/>
      <c r="L40" s="16" t="s">
        <v>239</v>
      </c>
      <c r="M40" s="67"/>
      <c r="N40" s="65"/>
    </row>
    <row r="41" spans="2:14" ht="15.75" x14ac:dyDescent="0.25">
      <c r="B41" s="67">
        <v>7</v>
      </c>
      <c r="C41" s="67"/>
      <c r="D41" s="55" t="s">
        <v>797</v>
      </c>
      <c r="E41" s="71" t="s">
        <v>798</v>
      </c>
      <c r="F41" s="71" t="s">
        <v>799</v>
      </c>
      <c r="G41" s="68">
        <v>46142</v>
      </c>
      <c r="H41" s="68">
        <v>46155</v>
      </c>
      <c r="I41" s="69">
        <v>655800</v>
      </c>
      <c r="J41" s="82">
        <f t="shared" si="4"/>
        <v>655800</v>
      </c>
      <c r="K41" s="79"/>
      <c r="L41" s="16" t="s">
        <v>89</v>
      </c>
      <c r="M41" s="67"/>
      <c r="N41" s="65"/>
    </row>
    <row r="42" spans="2:14" ht="15.75" x14ac:dyDescent="0.25">
      <c r="B42" s="67">
        <v>8</v>
      </c>
      <c r="C42" s="67"/>
      <c r="D42" s="55" t="s">
        <v>800</v>
      </c>
      <c r="E42" s="71" t="s">
        <v>801</v>
      </c>
      <c r="F42" s="71" t="s">
        <v>790</v>
      </c>
      <c r="G42" s="68">
        <v>46142</v>
      </c>
      <c r="H42" s="68">
        <v>46155</v>
      </c>
      <c r="I42" s="69">
        <v>338400</v>
      </c>
      <c r="J42" s="82">
        <f t="shared" si="4"/>
        <v>338400</v>
      </c>
      <c r="K42" s="79"/>
      <c r="L42" s="16" t="s">
        <v>89</v>
      </c>
      <c r="M42" s="67"/>
      <c r="N42" s="65"/>
    </row>
    <row r="43" spans="2:14" ht="15.75" x14ac:dyDescent="0.25">
      <c r="B43" s="67">
        <v>10</v>
      </c>
      <c r="C43" s="67"/>
      <c r="D43" s="55" t="s">
        <v>802</v>
      </c>
      <c r="E43" s="71" t="s">
        <v>803</v>
      </c>
      <c r="F43" s="71" t="s">
        <v>804</v>
      </c>
      <c r="G43" s="68">
        <v>46142</v>
      </c>
      <c r="H43" s="68">
        <v>46155</v>
      </c>
      <c r="I43" s="69">
        <v>327900</v>
      </c>
      <c r="J43" s="82">
        <f t="shared" si="4"/>
        <v>327900</v>
      </c>
      <c r="K43" s="70"/>
      <c r="L43" s="16" t="s">
        <v>89</v>
      </c>
      <c r="M43" s="67"/>
      <c r="N43" s="65"/>
    </row>
    <row r="44" spans="2:14" ht="15.75" x14ac:dyDescent="0.25">
      <c r="B44" s="67">
        <v>12</v>
      </c>
      <c r="C44" s="67"/>
      <c r="D44" s="55" t="s">
        <v>805</v>
      </c>
      <c r="E44" s="71" t="s">
        <v>806</v>
      </c>
      <c r="F44" s="71" t="s">
        <v>787</v>
      </c>
      <c r="G44" s="68">
        <v>46142</v>
      </c>
      <c r="H44" s="68">
        <v>46155</v>
      </c>
      <c r="I44" s="69">
        <v>720000</v>
      </c>
      <c r="J44" s="78"/>
      <c r="K44" s="70">
        <f t="shared" ref="K44:K45" si="5">I44</f>
        <v>720000</v>
      </c>
      <c r="L44" s="16" t="s">
        <v>89</v>
      </c>
      <c r="M44" s="67"/>
      <c r="N44" s="65"/>
    </row>
    <row r="45" spans="2:14" ht="15.75" x14ac:dyDescent="0.25">
      <c r="B45" s="67">
        <v>13</v>
      </c>
      <c r="C45" s="67"/>
      <c r="D45" s="67" t="s">
        <v>807</v>
      </c>
      <c r="E45" s="71" t="s">
        <v>789</v>
      </c>
      <c r="F45" s="55" t="s">
        <v>790</v>
      </c>
      <c r="G45" s="68">
        <v>46142</v>
      </c>
      <c r="H45" s="68">
        <v>46155</v>
      </c>
      <c r="I45" s="69">
        <v>217500</v>
      </c>
      <c r="J45" s="78"/>
      <c r="K45" s="70">
        <f t="shared" si="5"/>
        <v>217500</v>
      </c>
      <c r="L45" s="16" t="s">
        <v>89</v>
      </c>
      <c r="M45" s="67"/>
      <c r="N45" s="65"/>
    </row>
    <row r="46" spans="2:14" ht="15.75" x14ac:dyDescent="0.25">
      <c r="B46" s="157" t="s">
        <v>12</v>
      </c>
      <c r="C46" s="158"/>
      <c r="D46" s="158"/>
      <c r="E46" s="158"/>
      <c r="F46" s="158"/>
      <c r="G46" s="158"/>
      <c r="H46" s="158"/>
      <c r="I46" s="159"/>
      <c r="J46" s="60">
        <f>SUM(J36:J45)-112800</f>
        <v>3258000</v>
      </c>
      <c r="K46" s="61">
        <f>SUM(K36:K45)</f>
        <v>937500</v>
      </c>
      <c r="L46" s="62"/>
      <c r="M46" s="63">
        <f>SUM(K46+J46)</f>
        <v>4195500</v>
      </c>
      <c r="N46" s="64"/>
    </row>
    <row r="47" spans="2:14" x14ac:dyDescent="0.25">
      <c r="D47" s="42"/>
      <c r="I47" s="43"/>
      <c r="N47" s="44"/>
    </row>
    <row r="48" spans="2:14" x14ac:dyDescent="0.25">
      <c r="D48" s="42"/>
      <c r="I48" s="43"/>
      <c r="N48" s="44"/>
    </row>
    <row r="49" spans="2:14" ht="15.75" x14ac:dyDescent="0.25">
      <c r="D49" s="42"/>
      <c r="G49" s="150" t="s">
        <v>23</v>
      </c>
      <c r="H49" s="150"/>
      <c r="I49" s="150"/>
      <c r="J49" s="18">
        <f>SUM(J46+J34+J19)</f>
        <v>11929000</v>
      </c>
      <c r="K49" s="40">
        <f>SUM(K46+K34+K19)</f>
        <v>4319280</v>
      </c>
      <c r="L49" s="28"/>
      <c r="M49" s="28"/>
      <c r="N49" s="21">
        <f>SUM(J49+K49)</f>
        <v>16248280</v>
      </c>
    </row>
    <row r="50" spans="2:14" x14ac:dyDescent="0.25">
      <c r="D50" s="42"/>
      <c r="I50" s="43"/>
      <c r="N50" s="44"/>
    </row>
    <row r="51" spans="2:14" x14ac:dyDescent="0.25">
      <c r="B51" s="160" t="s">
        <v>24</v>
      </c>
      <c r="C51" s="160"/>
      <c r="D51" s="160"/>
      <c r="I51" s="43"/>
      <c r="N51" s="44"/>
    </row>
    <row r="52" spans="2:14" ht="15.75" x14ac:dyDescent="0.25">
      <c r="B52" s="154" t="s">
        <v>3</v>
      </c>
      <c r="C52" s="161" t="s">
        <v>25</v>
      </c>
      <c r="D52" s="154" t="s">
        <v>5</v>
      </c>
      <c r="E52" s="154" t="s">
        <v>6</v>
      </c>
      <c r="F52" s="154" t="s">
        <v>7</v>
      </c>
      <c r="G52" s="154" t="s">
        <v>8</v>
      </c>
      <c r="H52" s="154" t="s">
        <v>9</v>
      </c>
      <c r="I52" s="161" t="s">
        <v>26</v>
      </c>
      <c r="J52" s="143" t="s">
        <v>11</v>
      </c>
      <c r="K52" s="144"/>
      <c r="L52" s="170"/>
      <c r="M52" s="133" t="s">
        <v>12</v>
      </c>
      <c r="N52" s="154" t="s">
        <v>13</v>
      </c>
    </row>
    <row r="53" spans="2:14" ht="15.75" x14ac:dyDescent="0.25">
      <c r="B53" s="155"/>
      <c r="C53" s="162"/>
      <c r="D53" s="155"/>
      <c r="E53" s="155"/>
      <c r="F53" s="155"/>
      <c r="G53" s="155"/>
      <c r="H53" s="155"/>
      <c r="I53" s="162"/>
      <c r="J53" s="4" t="s">
        <v>14</v>
      </c>
      <c r="K53" s="5" t="s">
        <v>15</v>
      </c>
      <c r="L53" s="6" t="s">
        <v>16</v>
      </c>
      <c r="M53" s="134"/>
      <c r="N53" s="155"/>
    </row>
    <row r="54" spans="2:14" ht="15" customHeight="1" x14ac:dyDescent="0.25">
      <c r="B54" s="27">
        <v>1</v>
      </c>
      <c r="C54" s="31" t="s">
        <v>146</v>
      </c>
      <c r="D54" s="45" t="s">
        <v>808</v>
      </c>
      <c r="E54" s="46" t="s">
        <v>809</v>
      </c>
      <c r="F54" s="46" t="s">
        <v>659</v>
      </c>
      <c r="G54" s="47">
        <v>46155</v>
      </c>
      <c r="H54" s="47"/>
      <c r="I54" s="48">
        <v>113600</v>
      </c>
      <c r="J54" s="49">
        <f>I54</f>
        <v>113600</v>
      </c>
      <c r="K54" s="50"/>
      <c r="L54" s="16" t="s">
        <v>89</v>
      </c>
      <c r="M54" s="17"/>
      <c r="N54" s="17"/>
    </row>
    <row r="55" spans="2:14" ht="15" customHeight="1" x14ac:dyDescent="0.25">
      <c r="B55" s="27">
        <v>2</v>
      </c>
      <c r="C55" s="31"/>
      <c r="D55" s="51"/>
      <c r="E55" s="51"/>
      <c r="F55" s="17"/>
      <c r="G55" s="47"/>
      <c r="H55" s="52"/>
      <c r="I55" s="16"/>
      <c r="J55" s="49"/>
      <c r="K55" s="50"/>
      <c r="L55" s="16"/>
      <c r="M55" s="17"/>
      <c r="N55" s="17"/>
    </row>
    <row r="56" spans="2:14" ht="15" customHeight="1" x14ac:dyDescent="0.25">
      <c r="B56" s="27">
        <v>3</v>
      </c>
      <c r="C56" s="31"/>
      <c r="D56" s="51"/>
      <c r="E56" s="51"/>
      <c r="F56" s="17"/>
      <c r="G56" s="47"/>
      <c r="H56" s="52"/>
      <c r="I56" s="16"/>
      <c r="J56" s="49"/>
      <c r="K56" s="50"/>
      <c r="L56" s="16"/>
      <c r="M56" s="17"/>
      <c r="N56" s="17"/>
    </row>
    <row r="57" spans="2:14" ht="15.75" x14ac:dyDescent="0.25">
      <c r="B57" s="122" t="s">
        <v>27</v>
      </c>
      <c r="C57" s="123"/>
      <c r="D57" s="123"/>
      <c r="E57" s="123"/>
      <c r="F57" s="123"/>
      <c r="G57" s="123"/>
      <c r="H57" s="123"/>
      <c r="I57" s="124"/>
      <c r="J57" s="39">
        <f>SUM(J54:J56)</f>
        <v>113600</v>
      </c>
      <c r="K57" s="40">
        <f>SUM(K54:K56)</f>
        <v>0</v>
      </c>
      <c r="L57" s="28"/>
      <c r="M57" s="41">
        <f>SUM(J57+K57)</f>
        <v>113600</v>
      </c>
      <c r="N57" s="53"/>
    </row>
    <row r="58" spans="2:14" ht="15.75" x14ac:dyDescent="0.25">
      <c r="B58" s="139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63"/>
    </row>
    <row r="59" spans="2:14" x14ac:dyDescent="0.25">
      <c r="B59" s="55">
        <v>1</v>
      </c>
      <c r="C59" s="8" t="s">
        <v>87</v>
      </c>
      <c r="D59" s="51" t="s">
        <v>810</v>
      </c>
      <c r="E59" s="51" t="s">
        <v>630</v>
      </c>
      <c r="F59" s="17" t="s">
        <v>811</v>
      </c>
      <c r="G59" s="47">
        <v>46155</v>
      </c>
      <c r="H59" s="52"/>
      <c r="I59" s="16">
        <v>1111000</v>
      </c>
      <c r="J59" s="49">
        <f>I59</f>
        <v>1111000</v>
      </c>
      <c r="K59" s="50"/>
      <c r="L59" s="16" t="s">
        <v>89</v>
      </c>
      <c r="M59" s="17"/>
      <c r="N59" s="17"/>
    </row>
    <row r="60" spans="2:14" x14ac:dyDescent="0.25">
      <c r="B60" s="55">
        <v>2</v>
      </c>
      <c r="C60" s="8" t="s">
        <v>87</v>
      </c>
      <c r="D60" s="51" t="s">
        <v>812</v>
      </c>
      <c r="E60" s="51" t="s">
        <v>813</v>
      </c>
      <c r="F60" s="17" t="s">
        <v>716</v>
      </c>
      <c r="G60" s="47">
        <v>46155</v>
      </c>
      <c r="H60" s="52"/>
      <c r="I60" s="16">
        <v>328700</v>
      </c>
      <c r="J60" s="49">
        <f t="shared" ref="J60:J61" si="6">I60</f>
        <v>328700</v>
      </c>
      <c r="K60" s="15"/>
      <c r="L60" s="16" t="s">
        <v>89</v>
      </c>
      <c r="M60" s="17"/>
      <c r="N60" s="17"/>
    </row>
    <row r="61" spans="2:14" x14ac:dyDescent="0.25">
      <c r="B61" s="55">
        <v>3</v>
      </c>
      <c r="C61" s="8" t="s">
        <v>87</v>
      </c>
      <c r="D61" s="51" t="s">
        <v>814</v>
      </c>
      <c r="E61" s="51" t="s">
        <v>386</v>
      </c>
      <c r="F61" s="17" t="s">
        <v>815</v>
      </c>
      <c r="G61" s="47">
        <v>46155</v>
      </c>
      <c r="H61" s="52"/>
      <c r="I61" s="16">
        <v>442300</v>
      </c>
      <c r="J61" s="49">
        <f t="shared" si="6"/>
        <v>442300</v>
      </c>
      <c r="K61" s="50"/>
      <c r="L61" s="16" t="s">
        <v>89</v>
      </c>
      <c r="M61" s="17"/>
      <c r="N61" s="17"/>
    </row>
    <row r="62" spans="2:14" x14ac:dyDescent="0.25">
      <c r="B62" s="55">
        <v>4</v>
      </c>
      <c r="C62" s="8" t="s">
        <v>87</v>
      </c>
      <c r="D62" s="51" t="s">
        <v>816</v>
      </c>
      <c r="E62" s="51" t="s">
        <v>817</v>
      </c>
      <c r="F62" s="17" t="s">
        <v>713</v>
      </c>
      <c r="G62" s="47">
        <v>46155</v>
      </c>
      <c r="H62" s="52"/>
      <c r="I62" s="16">
        <v>144156</v>
      </c>
      <c r="J62" s="49"/>
      <c r="K62" s="15">
        <f>I62</f>
        <v>144156</v>
      </c>
      <c r="L62" s="16" t="s">
        <v>89</v>
      </c>
      <c r="M62" s="17"/>
      <c r="N62" s="17"/>
    </row>
    <row r="63" spans="2:14" x14ac:dyDescent="0.25">
      <c r="B63" s="55">
        <v>5</v>
      </c>
      <c r="C63" s="8" t="s">
        <v>87</v>
      </c>
      <c r="D63" s="51" t="s">
        <v>818</v>
      </c>
      <c r="E63" s="51" t="s">
        <v>813</v>
      </c>
      <c r="F63" s="17" t="s">
        <v>716</v>
      </c>
      <c r="G63" s="47">
        <v>46155</v>
      </c>
      <c r="H63" s="52"/>
      <c r="I63" s="16">
        <v>78000</v>
      </c>
      <c r="J63" s="49"/>
      <c r="K63" s="15">
        <f>I63</f>
        <v>78000</v>
      </c>
      <c r="L63" s="16" t="s">
        <v>89</v>
      </c>
      <c r="M63" s="17"/>
      <c r="N63" s="17"/>
    </row>
    <row r="64" spans="2:14" x14ac:dyDescent="0.25">
      <c r="B64" s="55">
        <v>6</v>
      </c>
      <c r="C64" s="8" t="s">
        <v>234</v>
      </c>
      <c r="D64" s="51" t="s">
        <v>819</v>
      </c>
      <c r="E64" s="51" t="s">
        <v>778</v>
      </c>
      <c r="F64" s="17" t="s">
        <v>686</v>
      </c>
      <c r="G64" s="47">
        <v>46155</v>
      </c>
      <c r="H64" s="52"/>
      <c r="I64" s="16">
        <v>174000</v>
      </c>
      <c r="J64" s="49"/>
      <c r="K64" s="38">
        <v>174000</v>
      </c>
      <c r="L64" s="16" t="s">
        <v>89</v>
      </c>
      <c r="M64" s="17"/>
      <c r="N64" s="17"/>
    </row>
    <row r="65" spans="2:14" ht="15.75" x14ac:dyDescent="0.25">
      <c r="B65" s="122" t="s">
        <v>27</v>
      </c>
      <c r="C65" s="123"/>
      <c r="D65" s="123"/>
      <c r="E65" s="123"/>
      <c r="F65" s="123"/>
      <c r="G65" s="123"/>
      <c r="H65" s="123"/>
      <c r="I65" s="124"/>
      <c r="J65" s="39">
        <f>SUM(J59:J64)</f>
        <v>1882000</v>
      </c>
      <c r="K65" s="40">
        <f>SUM(K59:K64)</f>
        <v>396156</v>
      </c>
      <c r="L65" s="28"/>
      <c r="M65" s="41">
        <f>SUM(J65+K65)</f>
        <v>2278156</v>
      </c>
      <c r="N65" s="53"/>
    </row>
    <row r="66" spans="2:14" x14ac:dyDescent="0.25">
      <c r="D66" s="42"/>
      <c r="I66" s="43"/>
    </row>
    <row r="67" spans="2:14" ht="15.75" x14ac:dyDescent="0.25">
      <c r="D67" s="42"/>
      <c r="H67" s="122" t="s">
        <v>28</v>
      </c>
      <c r="I67" s="124"/>
      <c r="J67" s="39">
        <f>SUM(J65+J57)</f>
        <v>1995600</v>
      </c>
      <c r="K67" s="40">
        <f>SUM(K65+K57)</f>
        <v>396156</v>
      </c>
      <c r="L67" s="28"/>
      <c r="M67" s="54"/>
      <c r="N67" s="21">
        <f>SUM(M65+M57)</f>
        <v>2391756</v>
      </c>
    </row>
    <row r="68" spans="2:14" x14ac:dyDescent="0.25">
      <c r="D68" s="42"/>
      <c r="I68" s="43"/>
    </row>
    <row r="69" spans="2:14" x14ac:dyDescent="0.25">
      <c r="D69" s="42"/>
      <c r="H69" s="125" t="s">
        <v>29</v>
      </c>
      <c r="I69" s="126"/>
      <c r="J69" s="56" t="s">
        <v>14</v>
      </c>
      <c r="K69" s="57" t="s">
        <v>15</v>
      </c>
      <c r="L69" s="17"/>
      <c r="M69" s="17"/>
      <c r="N69" s="17"/>
    </row>
    <row r="70" spans="2:14" ht="15.75" x14ac:dyDescent="0.25">
      <c r="D70" s="42"/>
      <c r="H70" s="129"/>
      <c r="I70" s="130"/>
      <c r="J70" s="39">
        <f>SUM(J67+J49)</f>
        <v>13924600</v>
      </c>
      <c r="K70" s="40">
        <f>SUM(K67+K49)</f>
        <v>4715436</v>
      </c>
      <c r="L70" s="28"/>
      <c r="M70" s="28"/>
      <c r="N70" s="58">
        <f>SUM(K70+J70)</f>
        <v>18640036</v>
      </c>
    </row>
    <row r="71" spans="2:14" x14ac:dyDescent="0.25">
      <c r="D71" s="42"/>
      <c r="I71" s="43"/>
      <c r="N71" s="59"/>
    </row>
    <row r="72" spans="2:14" x14ac:dyDescent="0.25">
      <c r="D72" s="2" t="s">
        <v>30</v>
      </c>
      <c r="E72" s="1"/>
      <c r="F72" s="1"/>
      <c r="G72" s="1"/>
      <c r="H72" s="1"/>
      <c r="I72" s="1"/>
      <c r="J72" s="1"/>
    </row>
    <row r="73" spans="2:14" x14ac:dyDescent="0.25">
      <c r="D73" s="2"/>
      <c r="E73" s="1"/>
      <c r="F73" s="1"/>
      <c r="G73" s="1"/>
      <c r="H73" s="1"/>
      <c r="I73" s="1"/>
      <c r="J73" s="1"/>
    </row>
    <row r="74" spans="2:14" x14ac:dyDescent="0.25">
      <c r="D74" s="3" t="s">
        <v>31</v>
      </c>
      <c r="E74" s="3"/>
      <c r="F74" s="3" t="s">
        <v>32</v>
      </c>
      <c r="G74" s="3"/>
      <c r="H74" s="3" t="s">
        <v>33</v>
      </c>
      <c r="I74" s="3"/>
      <c r="J74" s="3" t="s">
        <v>34</v>
      </c>
    </row>
    <row r="75" spans="2:14" x14ac:dyDescent="0.25">
      <c r="D75" s="3"/>
      <c r="E75" s="3"/>
      <c r="F75" s="3"/>
      <c r="G75" s="3"/>
      <c r="H75" s="3"/>
      <c r="I75" s="3"/>
      <c r="J75" s="3"/>
    </row>
    <row r="76" spans="2:14" x14ac:dyDescent="0.25">
      <c r="D76" s="3"/>
      <c r="E76" s="3"/>
      <c r="F76" s="3"/>
      <c r="G76" s="3"/>
      <c r="H76" s="3"/>
      <c r="I76" s="3"/>
      <c r="J76" s="3"/>
    </row>
    <row r="77" spans="2:14" x14ac:dyDescent="0.25">
      <c r="D77" s="3"/>
      <c r="E77" s="3"/>
      <c r="F77" s="3"/>
      <c r="G77" s="3"/>
      <c r="H77" s="3"/>
      <c r="I77" s="3"/>
      <c r="J77" s="3"/>
    </row>
    <row r="78" spans="2:14" x14ac:dyDescent="0.25">
      <c r="D78" s="3" t="s">
        <v>35</v>
      </c>
      <c r="E78" s="3"/>
      <c r="F78" s="3" t="s">
        <v>36</v>
      </c>
      <c r="G78" s="3"/>
      <c r="H78" s="3" t="s">
        <v>36</v>
      </c>
      <c r="I78" s="3"/>
      <c r="J78" s="3" t="s">
        <v>37</v>
      </c>
    </row>
    <row r="79" spans="2:14" x14ac:dyDescent="0.25">
      <c r="D79" s="42"/>
    </row>
    <row r="80" spans="2:14" x14ac:dyDescent="0.25">
      <c r="D80" s="42"/>
    </row>
    <row r="81" spans="4:4" x14ac:dyDescent="0.25">
      <c r="D81" s="42"/>
    </row>
    <row r="82" spans="4:4" x14ac:dyDescent="0.25">
      <c r="D82" s="42"/>
    </row>
    <row r="83" spans="4:4" x14ac:dyDescent="0.25">
      <c r="D83" s="42"/>
    </row>
  </sheetData>
  <mergeCells count="37">
    <mergeCell ref="B20:N20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9:I19"/>
    <mergeCell ref="N52:N53"/>
    <mergeCell ref="B34:I34"/>
    <mergeCell ref="B35:N35"/>
    <mergeCell ref="B46:I46"/>
    <mergeCell ref="G49:I49"/>
    <mergeCell ref="B51:D51"/>
    <mergeCell ref="B52:B53"/>
    <mergeCell ref="C52:C53"/>
    <mergeCell ref="D52:D53"/>
    <mergeCell ref="E52:E53"/>
    <mergeCell ref="F52:F53"/>
    <mergeCell ref="G52:G53"/>
    <mergeCell ref="H52:H53"/>
    <mergeCell ref="I52:I53"/>
    <mergeCell ref="J52:L52"/>
    <mergeCell ref="M52:M53"/>
    <mergeCell ref="B57:I57"/>
    <mergeCell ref="B58:N58"/>
    <mergeCell ref="B65:I65"/>
    <mergeCell ref="H67:I67"/>
    <mergeCell ref="H69:I7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8E019-11F6-4101-8206-4F5C13DB1133}">
  <dimension ref="B2:P80"/>
  <sheetViews>
    <sheetView workbookViewId="0">
      <selection activeCell="B11" sqref="B11:I11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820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821</v>
      </c>
      <c r="E8" s="10" t="s">
        <v>19</v>
      </c>
      <c r="F8" s="11" t="s">
        <v>20</v>
      </c>
      <c r="G8" s="12">
        <v>46143</v>
      </c>
      <c r="H8" s="12">
        <v>46156</v>
      </c>
      <c r="I8" s="13">
        <v>290700</v>
      </c>
      <c r="J8" s="14"/>
      <c r="K8" s="15">
        <v>100000</v>
      </c>
      <c r="L8" s="16" t="s">
        <v>235</v>
      </c>
      <c r="M8" s="16"/>
      <c r="N8" s="17"/>
    </row>
    <row r="9" spans="2:16" x14ac:dyDescent="0.25">
      <c r="B9" s="7">
        <v>2</v>
      </c>
      <c r="C9" s="8"/>
      <c r="D9" s="9" t="s">
        <v>893</v>
      </c>
      <c r="E9" s="10" t="s">
        <v>894</v>
      </c>
      <c r="F9" s="11" t="s">
        <v>895</v>
      </c>
      <c r="G9" s="12">
        <v>46095</v>
      </c>
      <c r="H9" s="12">
        <v>46108</v>
      </c>
      <c r="I9" s="13">
        <v>2822400</v>
      </c>
      <c r="J9" s="14"/>
      <c r="K9" s="15">
        <f t="shared" ref="K9:K10" si="0">I9</f>
        <v>2822400</v>
      </c>
      <c r="L9" s="16" t="s">
        <v>896</v>
      </c>
      <c r="M9" s="16"/>
      <c r="N9" s="17"/>
    </row>
    <row r="10" spans="2:16" x14ac:dyDescent="0.25">
      <c r="B10" s="7">
        <v>3</v>
      </c>
      <c r="C10" s="8"/>
      <c r="D10" s="9" t="s">
        <v>888</v>
      </c>
      <c r="E10" s="10" t="s">
        <v>889</v>
      </c>
      <c r="F10" s="11" t="s">
        <v>890</v>
      </c>
      <c r="G10" s="12">
        <v>46136</v>
      </c>
      <c r="H10" s="12">
        <v>46149</v>
      </c>
      <c r="I10" s="13">
        <v>522000</v>
      </c>
      <c r="J10" s="14"/>
      <c r="K10" s="15">
        <f t="shared" si="0"/>
        <v>522000</v>
      </c>
      <c r="L10" s="16" t="s">
        <v>239</v>
      </c>
      <c r="M10" s="16"/>
      <c r="N10" s="17"/>
    </row>
    <row r="11" spans="2:16" ht="15.75" x14ac:dyDescent="0.25">
      <c r="B11" s="122" t="s">
        <v>12</v>
      </c>
      <c r="C11" s="123"/>
      <c r="D11" s="123"/>
      <c r="E11" s="123"/>
      <c r="F11" s="123"/>
      <c r="G11" s="123"/>
      <c r="H11" s="123"/>
      <c r="I11" s="124"/>
      <c r="J11" s="18">
        <f>SUM(J8:J10)</f>
        <v>0</v>
      </c>
      <c r="K11" s="19">
        <f>SUM(K8:K10)-522000</f>
        <v>2922400</v>
      </c>
      <c r="L11" s="20"/>
      <c r="M11" s="21">
        <f>SUM(J11+K11)</f>
        <v>2922400</v>
      </c>
      <c r="N11" s="21"/>
    </row>
    <row r="12" spans="2:16" ht="15.75" x14ac:dyDescent="0.25">
      <c r="B12" s="141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72"/>
    </row>
    <row r="13" spans="2:16" x14ac:dyDescent="0.25">
      <c r="B13" s="7">
        <v>1</v>
      </c>
      <c r="C13" s="22" t="s">
        <v>21</v>
      </c>
      <c r="D13" s="9" t="s">
        <v>822</v>
      </c>
      <c r="E13" s="23" t="s">
        <v>823</v>
      </c>
      <c r="F13" s="24" t="s">
        <v>770</v>
      </c>
      <c r="G13" s="25">
        <v>46142</v>
      </c>
      <c r="H13" s="25">
        <v>46155</v>
      </c>
      <c r="I13" s="26">
        <v>430200</v>
      </c>
      <c r="J13" s="14">
        <f>I13</f>
        <v>430200</v>
      </c>
      <c r="K13" s="15"/>
      <c r="L13" s="16" t="s">
        <v>89</v>
      </c>
      <c r="M13" s="16"/>
      <c r="N13" s="17"/>
    </row>
    <row r="14" spans="2:16" x14ac:dyDescent="0.25">
      <c r="B14" s="7">
        <v>2</v>
      </c>
      <c r="C14" s="22"/>
      <c r="D14" s="9" t="s">
        <v>824</v>
      </c>
      <c r="E14" s="23" t="s">
        <v>825</v>
      </c>
      <c r="F14" s="24" t="s">
        <v>47</v>
      </c>
      <c r="G14" s="25">
        <v>46143</v>
      </c>
      <c r="H14" s="25">
        <v>46156</v>
      </c>
      <c r="I14" s="26">
        <v>327900</v>
      </c>
      <c r="J14" s="14">
        <f t="shared" ref="J14:J23" si="1">I14</f>
        <v>327900</v>
      </c>
      <c r="K14" s="15"/>
      <c r="L14" s="16" t="s">
        <v>89</v>
      </c>
      <c r="M14" s="16"/>
      <c r="N14" s="17"/>
    </row>
    <row r="15" spans="2:16" x14ac:dyDescent="0.25">
      <c r="B15" s="7">
        <v>4</v>
      </c>
      <c r="C15" s="22"/>
      <c r="D15" s="9" t="s">
        <v>826</v>
      </c>
      <c r="E15" s="23" t="s">
        <v>827</v>
      </c>
      <c r="F15" s="24" t="s">
        <v>50</v>
      </c>
      <c r="G15" s="25">
        <v>46143</v>
      </c>
      <c r="H15" s="25">
        <v>46156</v>
      </c>
      <c r="I15" s="26">
        <v>327900</v>
      </c>
      <c r="J15" s="14">
        <f t="shared" si="1"/>
        <v>327900</v>
      </c>
      <c r="K15" s="15"/>
      <c r="L15" s="16" t="s">
        <v>89</v>
      </c>
      <c r="M15" s="16"/>
      <c r="N15" s="17"/>
    </row>
    <row r="16" spans="2:16" x14ac:dyDescent="0.25">
      <c r="B16" s="7">
        <v>6</v>
      </c>
      <c r="C16" s="22"/>
      <c r="D16" s="9" t="s">
        <v>828</v>
      </c>
      <c r="E16" s="23" t="s">
        <v>339</v>
      </c>
      <c r="F16" s="24" t="s">
        <v>50</v>
      </c>
      <c r="G16" s="25">
        <v>46143</v>
      </c>
      <c r="H16" s="25">
        <v>46156</v>
      </c>
      <c r="I16" s="26">
        <v>215100</v>
      </c>
      <c r="J16" s="14">
        <f t="shared" si="1"/>
        <v>215100</v>
      </c>
      <c r="K16" s="15"/>
      <c r="L16" s="16" t="s">
        <v>89</v>
      </c>
      <c r="M16" s="16"/>
      <c r="N16" s="17"/>
    </row>
    <row r="17" spans="2:14" x14ac:dyDescent="0.25">
      <c r="B17" s="7">
        <v>7</v>
      </c>
      <c r="C17" s="22"/>
      <c r="D17" s="9" t="s">
        <v>829</v>
      </c>
      <c r="E17" s="23" t="s">
        <v>830</v>
      </c>
      <c r="F17" s="24" t="s">
        <v>73</v>
      </c>
      <c r="G17" s="25">
        <v>46143</v>
      </c>
      <c r="H17" s="25">
        <v>46156</v>
      </c>
      <c r="I17" s="26">
        <v>327900</v>
      </c>
      <c r="J17" s="14">
        <v>150000</v>
      </c>
      <c r="K17" s="15"/>
      <c r="L17" s="16" t="s">
        <v>235</v>
      </c>
      <c r="M17" s="16"/>
      <c r="N17" s="17"/>
    </row>
    <row r="18" spans="2:14" x14ac:dyDescent="0.25">
      <c r="B18" s="7">
        <v>9</v>
      </c>
      <c r="C18" s="22"/>
      <c r="D18" s="9" t="s">
        <v>831</v>
      </c>
      <c r="E18" s="23" t="s">
        <v>832</v>
      </c>
      <c r="F18" s="24" t="s">
        <v>833</v>
      </c>
      <c r="G18" s="25">
        <v>46143</v>
      </c>
      <c r="H18" s="25">
        <v>46156</v>
      </c>
      <c r="I18" s="26">
        <v>215100</v>
      </c>
      <c r="J18" s="14">
        <f t="shared" si="1"/>
        <v>215100</v>
      </c>
      <c r="K18" s="15"/>
      <c r="L18" s="16" t="s">
        <v>89</v>
      </c>
      <c r="M18" s="16"/>
      <c r="N18" s="17"/>
    </row>
    <row r="19" spans="2:14" x14ac:dyDescent="0.25">
      <c r="B19" s="7">
        <v>10</v>
      </c>
      <c r="C19" s="22"/>
      <c r="D19" s="9" t="s">
        <v>834</v>
      </c>
      <c r="E19" s="23" t="s">
        <v>835</v>
      </c>
      <c r="F19" s="24" t="s">
        <v>833</v>
      </c>
      <c r="G19" s="25">
        <v>46143</v>
      </c>
      <c r="H19" s="25">
        <v>46156</v>
      </c>
      <c r="I19" s="26">
        <v>327900</v>
      </c>
      <c r="J19" s="14">
        <f t="shared" si="1"/>
        <v>327900</v>
      </c>
      <c r="K19" s="15"/>
      <c r="L19" s="16" t="s">
        <v>89</v>
      </c>
      <c r="M19" s="16"/>
      <c r="N19" s="17"/>
    </row>
    <row r="20" spans="2:14" x14ac:dyDescent="0.25">
      <c r="B20" s="7">
        <v>11</v>
      </c>
      <c r="C20" s="22"/>
      <c r="D20" s="9" t="s">
        <v>836</v>
      </c>
      <c r="E20" s="23" t="s">
        <v>837</v>
      </c>
      <c r="F20" s="24" t="s">
        <v>75</v>
      </c>
      <c r="G20" s="25">
        <v>46143</v>
      </c>
      <c r="H20" s="25">
        <v>46156</v>
      </c>
      <c r="I20" s="26">
        <v>327900</v>
      </c>
      <c r="J20" s="14">
        <f t="shared" si="1"/>
        <v>327900</v>
      </c>
      <c r="K20" s="15"/>
      <c r="L20" s="16" t="s">
        <v>89</v>
      </c>
      <c r="M20" s="16"/>
      <c r="N20" s="17"/>
    </row>
    <row r="21" spans="2:14" x14ac:dyDescent="0.25">
      <c r="B21" s="7">
        <v>12</v>
      </c>
      <c r="C21" s="22"/>
      <c r="D21" s="9" t="s">
        <v>838</v>
      </c>
      <c r="E21" s="23" t="s">
        <v>839</v>
      </c>
      <c r="F21" s="24" t="s">
        <v>840</v>
      </c>
      <c r="G21" s="25">
        <v>46143</v>
      </c>
      <c r="H21" s="25">
        <v>46156</v>
      </c>
      <c r="I21" s="26">
        <v>327900</v>
      </c>
      <c r="J21" s="14">
        <f t="shared" si="1"/>
        <v>327900</v>
      </c>
      <c r="K21" s="15"/>
      <c r="L21" s="16" t="s">
        <v>89</v>
      </c>
      <c r="M21" s="16"/>
      <c r="N21" s="17"/>
    </row>
    <row r="22" spans="2:14" x14ac:dyDescent="0.25">
      <c r="B22" s="7">
        <v>13</v>
      </c>
      <c r="C22" s="22"/>
      <c r="D22" s="9" t="s">
        <v>841</v>
      </c>
      <c r="E22" s="23" t="s">
        <v>842</v>
      </c>
      <c r="F22" s="24" t="s">
        <v>75</v>
      </c>
      <c r="G22" s="25">
        <v>46143</v>
      </c>
      <c r="H22" s="25">
        <v>46156</v>
      </c>
      <c r="I22" s="26">
        <v>645300</v>
      </c>
      <c r="J22" s="14">
        <v>545300</v>
      </c>
      <c r="K22" s="15"/>
      <c r="L22" s="16" t="s">
        <v>235</v>
      </c>
      <c r="M22" s="16"/>
      <c r="N22" s="17"/>
    </row>
    <row r="23" spans="2:14" x14ac:dyDescent="0.25">
      <c r="B23" s="7">
        <v>14</v>
      </c>
      <c r="C23" s="22"/>
      <c r="D23" s="9" t="s">
        <v>843</v>
      </c>
      <c r="E23" s="23" t="s">
        <v>844</v>
      </c>
      <c r="F23" s="24" t="s">
        <v>845</v>
      </c>
      <c r="G23" s="25">
        <v>46143</v>
      </c>
      <c r="H23" s="25">
        <v>46156</v>
      </c>
      <c r="I23" s="26">
        <v>430200</v>
      </c>
      <c r="J23" s="14">
        <f t="shared" si="1"/>
        <v>430200</v>
      </c>
      <c r="K23" s="15"/>
      <c r="L23" s="16" t="s">
        <v>89</v>
      </c>
      <c r="M23" s="16"/>
      <c r="N23" s="17"/>
    </row>
    <row r="24" spans="2:14" x14ac:dyDescent="0.25">
      <c r="B24" s="7">
        <v>16</v>
      </c>
      <c r="C24" s="22"/>
      <c r="D24" s="9" t="s">
        <v>846</v>
      </c>
      <c r="E24" s="23" t="s">
        <v>823</v>
      </c>
      <c r="F24" s="24" t="s">
        <v>770</v>
      </c>
      <c r="G24" s="25">
        <v>46142</v>
      </c>
      <c r="H24" s="25">
        <v>46155</v>
      </c>
      <c r="I24" s="26">
        <v>68556</v>
      </c>
      <c r="J24" s="14"/>
      <c r="K24" s="15">
        <f t="shared" ref="K24:K29" si="2">I24</f>
        <v>68556</v>
      </c>
      <c r="L24" s="16" t="s">
        <v>89</v>
      </c>
      <c r="M24" s="16"/>
      <c r="N24" s="17"/>
    </row>
    <row r="25" spans="2:14" x14ac:dyDescent="0.25">
      <c r="B25" s="7">
        <v>18</v>
      </c>
      <c r="C25" s="22"/>
      <c r="D25" s="9" t="s">
        <v>847</v>
      </c>
      <c r="E25" s="23" t="s">
        <v>830</v>
      </c>
      <c r="F25" s="24" t="s">
        <v>73</v>
      </c>
      <c r="G25" s="25">
        <v>46143</v>
      </c>
      <c r="H25" s="25">
        <v>46156</v>
      </c>
      <c r="I25" s="26">
        <v>50000</v>
      </c>
      <c r="J25" s="14"/>
      <c r="K25" s="15">
        <f t="shared" si="2"/>
        <v>50000</v>
      </c>
      <c r="L25" s="16" t="s">
        <v>89</v>
      </c>
      <c r="M25" s="16"/>
      <c r="N25" s="17"/>
    </row>
    <row r="26" spans="2:14" x14ac:dyDescent="0.25">
      <c r="B26" s="7">
        <v>19</v>
      </c>
      <c r="C26" s="22"/>
      <c r="D26" s="9" t="s">
        <v>848</v>
      </c>
      <c r="E26" s="23" t="s">
        <v>835</v>
      </c>
      <c r="F26" s="24" t="s">
        <v>833</v>
      </c>
      <c r="G26" s="25">
        <v>46143</v>
      </c>
      <c r="H26" s="25">
        <v>46156</v>
      </c>
      <c r="I26" s="26">
        <v>68556</v>
      </c>
      <c r="J26" s="14"/>
      <c r="K26" s="15">
        <f t="shared" si="2"/>
        <v>68556</v>
      </c>
      <c r="L26" s="16" t="s">
        <v>89</v>
      </c>
      <c r="M26" s="16"/>
      <c r="N26" s="17"/>
    </row>
    <row r="27" spans="2:14" x14ac:dyDescent="0.25">
      <c r="B27" s="7">
        <v>20</v>
      </c>
      <c r="C27" s="22"/>
      <c r="D27" s="9" t="s">
        <v>849</v>
      </c>
      <c r="E27" s="23" t="s">
        <v>844</v>
      </c>
      <c r="F27" s="24" t="s">
        <v>845</v>
      </c>
      <c r="G27" s="25">
        <v>46143</v>
      </c>
      <c r="H27" s="25">
        <v>46156</v>
      </c>
      <c r="I27" s="26">
        <v>68556</v>
      </c>
      <c r="J27" s="14"/>
      <c r="K27" s="15">
        <f t="shared" si="2"/>
        <v>68556</v>
      </c>
      <c r="L27" s="16" t="s">
        <v>89</v>
      </c>
      <c r="M27" s="16"/>
      <c r="N27" s="17"/>
    </row>
    <row r="28" spans="2:14" x14ac:dyDescent="0.25">
      <c r="B28" s="7">
        <v>21</v>
      </c>
      <c r="C28" s="22"/>
      <c r="D28" s="9" t="s">
        <v>850</v>
      </c>
      <c r="E28" s="23" t="s">
        <v>839</v>
      </c>
      <c r="F28" s="24" t="s">
        <v>840</v>
      </c>
      <c r="G28" s="25">
        <v>46143</v>
      </c>
      <c r="H28" s="25">
        <v>46156</v>
      </c>
      <c r="I28" s="26">
        <v>34278</v>
      </c>
      <c r="J28" s="14"/>
      <c r="K28" s="15">
        <f t="shared" si="2"/>
        <v>34278</v>
      </c>
      <c r="L28" s="16" t="s">
        <v>89</v>
      </c>
      <c r="M28" s="16"/>
      <c r="N28" s="17"/>
    </row>
    <row r="29" spans="2:14" x14ac:dyDescent="0.25">
      <c r="B29" s="7">
        <v>22</v>
      </c>
      <c r="C29" s="22"/>
      <c r="D29" s="9" t="s">
        <v>851</v>
      </c>
      <c r="E29" s="23" t="s">
        <v>842</v>
      </c>
      <c r="F29" s="24" t="s">
        <v>75</v>
      </c>
      <c r="G29" s="25">
        <v>46143</v>
      </c>
      <c r="H29" s="25">
        <v>46156</v>
      </c>
      <c r="I29" s="26">
        <v>68556</v>
      </c>
      <c r="J29" s="14"/>
      <c r="K29" s="15">
        <f t="shared" si="2"/>
        <v>68556</v>
      </c>
      <c r="L29" s="16" t="s">
        <v>89</v>
      </c>
      <c r="M29" s="16"/>
      <c r="N29" s="17"/>
    </row>
    <row r="30" spans="2:14" ht="15.75" x14ac:dyDescent="0.25">
      <c r="B30" s="143" t="s">
        <v>12</v>
      </c>
      <c r="C30" s="144"/>
      <c r="D30" s="144"/>
      <c r="E30" s="144"/>
      <c r="F30" s="144"/>
      <c r="G30" s="144"/>
      <c r="H30" s="144"/>
      <c r="I30" s="170"/>
      <c r="J30" s="18">
        <f>SUM(J13:J29)</f>
        <v>3625400</v>
      </c>
      <c r="K30" s="19">
        <f>SUM(K13:K29)</f>
        <v>358502</v>
      </c>
      <c r="L30" s="28"/>
      <c r="M30" s="29">
        <f>SUM(J30+K30)</f>
        <v>3983902</v>
      </c>
      <c r="N30" s="21"/>
    </row>
    <row r="31" spans="2:14" ht="15.75" x14ac:dyDescent="0.25">
      <c r="B31" s="147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71"/>
    </row>
    <row r="32" spans="2:14" ht="15.75" x14ac:dyDescent="0.25">
      <c r="B32" s="67">
        <v>1</v>
      </c>
      <c r="C32" s="31" t="s">
        <v>22</v>
      </c>
      <c r="D32" s="55" t="s">
        <v>852</v>
      </c>
      <c r="E32" s="71" t="s">
        <v>853</v>
      </c>
      <c r="F32" s="71" t="s">
        <v>201</v>
      </c>
      <c r="G32" s="68">
        <v>46142</v>
      </c>
      <c r="H32" s="68">
        <v>46155</v>
      </c>
      <c r="I32" s="69">
        <v>870900</v>
      </c>
      <c r="J32" s="82">
        <f>I32</f>
        <v>870900</v>
      </c>
      <c r="K32" s="79"/>
      <c r="L32" s="16" t="s">
        <v>89</v>
      </c>
      <c r="M32" s="67"/>
      <c r="N32" s="65"/>
    </row>
    <row r="33" spans="2:14" ht="15.75" x14ac:dyDescent="0.25">
      <c r="B33" s="67">
        <v>2</v>
      </c>
      <c r="C33" s="31"/>
      <c r="D33" s="55" t="s">
        <v>854</v>
      </c>
      <c r="E33" s="71" t="s">
        <v>855</v>
      </c>
      <c r="F33" s="71" t="s">
        <v>577</v>
      </c>
      <c r="G33" s="68">
        <v>46142</v>
      </c>
      <c r="H33" s="68">
        <v>46155</v>
      </c>
      <c r="I33" s="69">
        <v>2376600</v>
      </c>
      <c r="J33" s="82">
        <f t="shared" ref="J33:J38" si="3">I33</f>
        <v>2376600</v>
      </c>
      <c r="K33" s="79"/>
      <c r="L33" s="16" t="s">
        <v>89</v>
      </c>
      <c r="M33" s="67"/>
      <c r="N33" s="65"/>
    </row>
    <row r="34" spans="2:14" ht="15.75" x14ac:dyDescent="0.25">
      <c r="B34" s="67">
        <v>3</v>
      </c>
      <c r="C34" s="31"/>
      <c r="D34" s="55" t="s">
        <v>856</v>
      </c>
      <c r="E34" s="71" t="s">
        <v>857</v>
      </c>
      <c r="F34" s="71" t="s">
        <v>67</v>
      </c>
      <c r="G34" s="68">
        <v>46143</v>
      </c>
      <c r="H34" s="68">
        <v>46156</v>
      </c>
      <c r="I34" s="69">
        <v>430200</v>
      </c>
      <c r="J34" s="82">
        <f t="shared" si="3"/>
        <v>430200</v>
      </c>
      <c r="K34" s="79"/>
      <c r="L34" s="16" t="s">
        <v>89</v>
      </c>
      <c r="M34" s="67"/>
      <c r="N34" s="65"/>
    </row>
    <row r="35" spans="2:14" ht="15.75" x14ac:dyDescent="0.25">
      <c r="B35" s="67">
        <v>4</v>
      </c>
      <c r="C35" s="31"/>
      <c r="D35" s="55" t="s">
        <v>858</v>
      </c>
      <c r="E35" s="71" t="s">
        <v>859</v>
      </c>
      <c r="F35" s="71" t="s">
        <v>860</v>
      </c>
      <c r="G35" s="68">
        <v>46143</v>
      </c>
      <c r="H35" s="68">
        <v>46156</v>
      </c>
      <c r="I35" s="69">
        <v>215100</v>
      </c>
      <c r="J35" s="82">
        <f t="shared" si="3"/>
        <v>215100</v>
      </c>
      <c r="K35" s="79"/>
      <c r="L35" s="16" t="s">
        <v>89</v>
      </c>
      <c r="M35" s="67"/>
      <c r="N35" s="65"/>
    </row>
    <row r="36" spans="2:14" ht="15.75" x14ac:dyDescent="0.25">
      <c r="B36" s="67">
        <v>5</v>
      </c>
      <c r="C36" s="31"/>
      <c r="D36" s="55" t="s">
        <v>861</v>
      </c>
      <c r="E36" s="71" t="s">
        <v>862</v>
      </c>
      <c r="F36" s="71" t="s">
        <v>863</v>
      </c>
      <c r="G36" s="68">
        <v>46143</v>
      </c>
      <c r="H36" s="68">
        <v>46156</v>
      </c>
      <c r="I36" s="69">
        <v>225600</v>
      </c>
      <c r="J36" s="82">
        <f t="shared" si="3"/>
        <v>225600</v>
      </c>
      <c r="K36" s="79"/>
      <c r="L36" s="16" t="s">
        <v>89</v>
      </c>
      <c r="M36" s="67"/>
      <c r="N36" s="65"/>
    </row>
    <row r="37" spans="2:14" ht="15.75" x14ac:dyDescent="0.25">
      <c r="B37" s="67">
        <v>6</v>
      </c>
      <c r="C37" s="31"/>
      <c r="D37" s="55" t="s">
        <v>864</v>
      </c>
      <c r="E37" s="71" t="s">
        <v>865</v>
      </c>
      <c r="F37" s="71" t="s">
        <v>796</v>
      </c>
      <c r="G37" s="68">
        <v>46143</v>
      </c>
      <c r="H37" s="68">
        <v>46156</v>
      </c>
      <c r="I37" s="69">
        <v>870900</v>
      </c>
      <c r="J37" s="82">
        <f t="shared" si="3"/>
        <v>870900</v>
      </c>
      <c r="K37" s="79"/>
      <c r="L37" s="16" t="s">
        <v>89</v>
      </c>
      <c r="M37" s="67"/>
      <c r="N37" s="65"/>
    </row>
    <row r="38" spans="2:14" ht="15.75" x14ac:dyDescent="0.25">
      <c r="B38" s="67">
        <v>7</v>
      </c>
      <c r="C38" s="67"/>
      <c r="D38" s="55" t="s">
        <v>866</v>
      </c>
      <c r="E38" s="71" t="s">
        <v>867</v>
      </c>
      <c r="F38" s="71" t="s">
        <v>67</v>
      </c>
      <c r="G38" s="68">
        <v>46143</v>
      </c>
      <c r="H38" s="68">
        <v>46156</v>
      </c>
      <c r="I38" s="69">
        <v>225600</v>
      </c>
      <c r="J38" s="82">
        <f t="shared" si="3"/>
        <v>225600</v>
      </c>
      <c r="K38" s="79"/>
      <c r="L38" s="16" t="s">
        <v>89</v>
      </c>
      <c r="M38" s="67"/>
      <c r="N38" s="65"/>
    </row>
    <row r="39" spans="2:14" ht="15.75" x14ac:dyDescent="0.25">
      <c r="B39" s="67">
        <v>8</v>
      </c>
      <c r="C39" s="67"/>
      <c r="D39" s="55" t="s">
        <v>868</v>
      </c>
      <c r="E39" s="71" t="s">
        <v>862</v>
      </c>
      <c r="F39" s="71" t="s">
        <v>863</v>
      </c>
      <c r="G39" s="68">
        <v>46143</v>
      </c>
      <c r="H39" s="68">
        <v>46156</v>
      </c>
      <c r="I39" s="69">
        <v>174156</v>
      </c>
      <c r="J39" s="82"/>
      <c r="K39" s="70">
        <f>I39</f>
        <v>174156</v>
      </c>
      <c r="L39" s="16" t="s">
        <v>89</v>
      </c>
      <c r="M39" s="67"/>
      <c r="N39" s="65"/>
    </row>
    <row r="40" spans="2:14" ht="15.75" x14ac:dyDescent="0.25">
      <c r="B40" s="67">
        <v>9</v>
      </c>
      <c r="C40" s="67"/>
      <c r="D40" s="55" t="s">
        <v>869</v>
      </c>
      <c r="E40" s="71" t="s">
        <v>63</v>
      </c>
      <c r="F40" s="71" t="s">
        <v>64</v>
      </c>
      <c r="G40" s="68">
        <v>46143</v>
      </c>
      <c r="H40" s="68">
        <v>46156</v>
      </c>
      <c r="I40" s="69">
        <v>420780</v>
      </c>
      <c r="J40" s="82"/>
      <c r="K40" s="70">
        <f t="shared" ref="K40:K43" si="4">I40</f>
        <v>420780</v>
      </c>
      <c r="L40" s="16" t="s">
        <v>89</v>
      </c>
      <c r="M40" s="67" t="s">
        <v>892</v>
      </c>
      <c r="N40" s="65"/>
    </row>
    <row r="41" spans="2:14" ht="15.75" x14ac:dyDescent="0.25">
      <c r="B41" s="67">
        <v>10</v>
      </c>
      <c r="C41" s="67"/>
      <c r="D41" s="55" t="s">
        <v>870</v>
      </c>
      <c r="E41" s="71" t="s">
        <v>871</v>
      </c>
      <c r="F41" s="71" t="s">
        <v>67</v>
      </c>
      <c r="G41" s="68">
        <v>46143</v>
      </c>
      <c r="H41" s="68">
        <v>46156</v>
      </c>
      <c r="I41" s="69">
        <v>216000</v>
      </c>
      <c r="J41" s="78"/>
      <c r="K41" s="70">
        <f t="shared" si="4"/>
        <v>216000</v>
      </c>
      <c r="L41" s="16" t="s">
        <v>89</v>
      </c>
      <c r="M41" s="67"/>
      <c r="N41" s="65"/>
    </row>
    <row r="42" spans="2:14" ht="15.75" x14ac:dyDescent="0.25">
      <c r="B42" s="67">
        <v>11</v>
      </c>
      <c r="C42" s="67"/>
      <c r="D42" s="55" t="s">
        <v>872</v>
      </c>
      <c r="E42" s="71" t="s">
        <v>859</v>
      </c>
      <c r="F42" s="71" t="s">
        <v>860</v>
      </c>
      <c r="G42" s="68">
        <v>46143</v>
      </c>
      <c r="H42" s="68">
        <v>46156</v>
      </c>
      <c r="I42" s="69">
        <v>52800</v>
      </c>
      <c r="J42" s="78"/>
      <c r="K42" s="70">
        <f t="shared" si="4"/>
        <v>52800</v>
      </c>
      <c r="L42" s="16" t="s">
        <v>89</v>
      </c>
      <c r="M42" s="67"/>
      <c r="N42" s="65"/>
    </row>
    <row r="43" spans="2:14" ht="15.75" x14ac:dyDescent="0.25">
      <c r="B43" s="67">
        <v>12</v>
      </c>
      <c r="C43" s="67"/>
      <c r="D43" s="67" t="s">
        <v>873</v>
      </c>
      <c r="E43" s="71" t="s">
        <v>853</v>
      </c>
      <c r="F43" s="55" t="s">
        <v>201</v>
      </c>
      <c r="G43" s="68">
        <v>46142</v>
      </c>
      <c r="H43" s="68">
        <v>46155</v>
      </c>
      <c r="I43" s="69">
        <v>604780</v>
      </c>
      <c r="J43" s="78"/>
      <c r="K43" s="70">
        <f t="shared" si="4"/>
        <v>604780</v>
      </c>
      <c r="L43" s="16" t="s">
        <v>89</v>
      </c>
      <c r="M43" s="67"/>
      <c r="N43" s="65"/>
    </row>
    <row r="44" spans="2:14" ht="15.75" x14ac:dyDescent="0.25">
      <c r="B44" s="157" t="s">
        <v>12</v>
      </c>
      <c r="C44" s="158"/>
      <c r="D44" s="158"/>
      <c r="E44" s="158"/>
      <c r="F44" s="158"/>
      <c r="G44" s="158"/>
      <c r="H44" s="158"/>
      <c r="I44" s="159"/>
      <c r="J44" s="60">
        <f>SUM(J32:J43)</f>
        <v>5214900</v>
      </c>
      <c r="K44" s="61">
        <f>SUM(K32:K43)</f>
        <v>1468516</v>
      </c>
      <c r="L44" s="62"/>
      <c r="M44" s="63">
        <f>SUM(K44+J44)</f>
        <v>6683416</v>
      </c>
      <c r="N44" s="64"/>
    </row>
    <row r="45" spans="2:14" x14ac:dyDescent="0.25">
      <c r="D45" s="42"/>
      <c r="I45" s="43"/>
      <c r="N45" s="44"/>
    </row>
    <row r="46" spans="2:14" x14ac:dyDescent="0.25">
      <c r="D46" s="42"/>
      <c r="I46" s="43"/>
      <c r="N46" s="44"/>
    </row>
    <row r="47" spans="2:14" ht="15.75" x14ac:dyDescent="0.25">
      <c r="D47" s="42"/>
      <c r="G47" s="150" t="s">
        <v>23</v>
      </c>
      <c r="H47" s="150"/>
      <c r="I47" s="150"/>
      <c r="J47" s="18">
        <f>SUM(J44+J30+J11)</f>
        <v>8840300</v>
      </c>
      <c r="K47" s="40">
        <f>SUM(K44+K30+K11)</f>
        <v>4749418</v>
      </c>
      <c r="L47" s="28"/>
      <c r="M47" s="28"/>
      <c r="N47" s="21">
        <f>SUM(J47+K47)</f>
        <v>13589718</v>
      </c>
    </row>
    <row r="48" spans="2:14" x14ac:dyDescent="0.25">
      <c r="D48" s="42"/>
      <c r="I48" s="43"/>
      <c r="N48" s="44"/>
    </row>
    <row r="49" spans="2:14" x14ac:dyDescent="0.25">
      <c r="B49" s="160" t="s">
        <v>24</v>
      </c>
      <c r="C49" s="160"/>
      <c r="D49" s="160"/>
      <c r="I49" s="43"/>
      <c r="N49" s="44"/>
    </row>
    <row r="50" spans="2:14" ht="15.75" x14ac:dyDescent="0.25">
      <c r="B50" s="154" t="s">
        <v>3</v>
      </c>
      <c r="C50" s="161" t="s">
        <v>25</v>
      </c>
      <c r="D50" s="154" t="s">
        <v>5</v>
      </c>
      <c r="E50" s="154" t="s">
        <v>6</v>
      </c>
      <c r="F50" s="154" t="s">
        <v>7</v>
      </c>
      <c r="G50" s="154" t="s">
        <v>8</v>
      </c>
      <c r="H50" s="154" t="s">
        <v>9</v>
      </c>
      <c r="I50" s="161" t="s">
        <v>26</v>
      </c>
      <c r="J50" s="143" t="s">
        <v>11</v>
      </c>
      <c r="K50" s="144"/>
      <c r="L50" s="170"/>
      <c r="M50" s="133" t="s">
        <v>12</v>
      </c>
      <c r="N50" s="154" t="s">
        <v>13</v>
      </c>
    </row>
    <row r="51" spans="2:14" ht="15.75" x14ac:dyDescent="0.25">
      <c r="B51" s="155"/>
      <c r="C51" s="162"/>
      <c r="D51" s="155"/>
      <c r="E51" s="155"/>
      <c r="F51" s="155"/>
      <c r="G51" s="155"/>
      <c r="H51" s="155"/>
      <c r="I51" s="162"/>
      <c r="J51" s="4" t="s">
        <v>14</v>
      </c>
      <c r="K51" s="5" t="s">
        <v>15</v>
      </c>
      <c r="L51" s="6" t="s">
        <v>16</v>
      </c>
      <c r="M51" s="134"/>
      <c r="N51" s="155"/>
    </row>
    <row r="52" spans="2:14" ht="15" customHeight="1" x14ac:dyDescent="0.25">
      <c r="B52" s="27">
        <v>1</v>
      </c>
      <c r="C52" s="31" t="s">
        <v>234</v>
      </c>
      <c r="D52" s="45" t="s">
        <v>874</v>
      </c>
      <c r="E52" s="46" t="s">
        <v>875</v>
      </c>
      <c r="F52" s="46" t="s">
        <v>769</v>
      </c>
      <c r="G52" s="47">
        <v>46156</v>
      </c>
      <c r="H52" s="47"/>
      <c r="I52" s="48">
        <v>215100</v>
      </c>
      <c r="J52" s="49">
        <f>I52</f>
        <v>215100</v>
      </c>
      <c r="K52" s="50"/>
      <c r="L52" s="16" t="s">
        <v>89</v>
      </c>
      <c r="M52" s="17"/>
      <c r="N52" s="17"/>
    </row>
    <row r="53" spans="2:14" ht="15" customHeight="1" x14ac:dyDescent="0.25">
      <c r="B53" s="27">
        <v>2</v>
      </c>
      <c r="C53" s="31" t="s">
        <v>234</v>
      </c>
      <c r="D53" s="51" t="s">
        <v>876</v>
      </c>
      <c r="E53" s="51" t="s">
        <v>877</v>
      </c>
      <c r="F53" s="17" t="s">
        <v>769</v>
      </c>
      <c r="G53" s="47">
        <v>46156</v>
      </c>
      <c r="H53" s="52"/>
      <c r="I53" s="16">
        <v>555500</v>
      </c>
      <c r="J53" s="49">
        <f t="shared" ref="J53:J54" si="5">I53</f>
        <v>555500</v>
      </c>
      <c r="K53" s="50"/>
      <c r="L53" s="16" t="s">
        <v>89</v>
      </c>
      <c r="M53" s="17"/>
      <c r="N53" s="17"/>
    </row>
    <row r="54" spans="2:14" ht="15" customHeight="1" x14ac:dyDescent="0.25">
      <c r="B54" s="27">
        <v>3</v>
      </c>
      <c r="C54" s="31" t="s">
        <v>234</v>
      </c>
      <c r="D54" s="51" t="s">
        <v>878</v>
      </c>
      <c r="E54" s="51" t="s">
        <v>784</v>
      </c>
      <c r="F54" s="17" t="s">
        <v>769</v>
      </c>
      <c r="G54" s="47">
        <v>46156</v>
      </c>
      <c r="H54" s="52"/>
      <c r="I54" s="16">
        <v>961500</v>
      </c>
      <c r="J54" s="49">
        <f t="shared" si="5"/>
        <v>961500</v>
      </c>
      <c r="K54" s="50"/>
      <c r="L54" s="16" t="s">
        <v>89</v>
      </c>
      <c r="M54" s="17"/>
      <c r="N54" s="17"/>
    </row>
    <row r="55" spans="2:14" ht="15" customHeight="1" x14ac:dyDescent="0.25">
      <c r="B55" s="27">
        <v>4</v>
      </c>
      <c r="C55" s="31" t="s">
        <v>234</v>
      </c>
      <c r="D55" s="51" t="s">
        <v>879</v>
      </c>
      <c r="E55" s="51" t="s">
        <v>880</v>
      </c>
      <c r="F55" s="17" t="s">
        <v>769</v>
      </c>
      <c r="G55" s="47">
        <v>46156</v>
      </c>
      <c r="H55" s="52"/>
      <c r="I55" s="16">
        <v>156000</v>
      </c>
      <c r="J55" s="49"/>
      <c r="K55" s="15">
        <f>I55</f>
        <v>156000</v>
      </c>
      <c r="L55" s="16" t="s">
        <v>89</v>
      </c>
      <c r="M55" s="17"/>
      <c r="N55" s="17"/>
    </row>
    <row r="56" spans="2:14" ht="15.75" x14ac:dyDescent="0.25">
      <c r="B56" s="122" t="s">
        <v>27</v>
      </c>
      <c r="C56" s="123"/>
      <c r="D56" s="123"/>
      <c r="E56" s="123"/>
      <c r="F56" s="123"/>
      <c r="G56" s="123"/>
      <c r="H56" s="123"/>
      <c r="I56" s="124"/>
      <c r="J56" s="39">
        <f>SUM(J52:J55)</f>
        <v>1732100</v>
      </c>
      <c r="K56" s="40">
        <f>SUM(K52:K55)</f>
        <v>156000</v>
      </c>
      <c r="L56" s="28"/>
      <c r="M56" s="41">
        <f>SUM(J56+K56)</f>
        <v>1888100</v>
      </c>
      <c r="N56" s="53"/>
    </row>
    <row r="57" spans="2:14" ht="15.75" x14ac:dyDescent="0.25">
      <c r="B57" s="139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63"/>
    </row>
    <row r="58" spans="2:14" x14ac:dyDescent="0.25">
      <c r="B58" s="55">
        <v>1</v>
      </c>
      <c r="C58" s="8" t="s">
        <v>891</v>
      </c>
      <c r="D58" s="51" t="s">
        <v>883</v>
      </c>
      <c r="E58" s="51" t="s">
        <v>884</v>
      </c>
      <c r="F58" s="17" t="s">
        <v>790</v>
      </c>
      <c r="G58" s="47">
        <v>46156</v>
      </c>
      <c r="H58" s="52"/>
      <c r="I58" s="16">
        <v>657000</v>
      </c>
      <c r="J58" s="49">
        <f>I58</f>
        <v>657000</v>
      </c>
      <c r="K58" s="50"/>
      <c r="L58" s="16" t="s">
        <v>89</v>
      </c>
      <c r="M58" s="17"/>
      <c r="N58" s="17"/>
    </row>
    <row r="59" spans="2:14" x14ac:dyDescent="0.25">
      <c r="B59" s="55">
        <v>2</v>
      </c>
      <c r="C59" s="8" t="s">
        <v>891</v>
      </c>
      <c r="D59" s="51" t="s">
        <v>885</v>
      </c>
      <c r="E59" s="51" t="s">
        <v>806</v>
      </c>
      <c r="F59" s="17" t="s">
        <v>787</v>
      </c>
      <c r="G59" s="47">
        <v>46156</v>
      </c>
      <c r="H59" s="52"/>
      <c r="I59" s="16">
        <v>1063000</v>
      </c>
      <c r="J59" s="49">
        <f t="shared" ref="J59:J61" si="6">I59</f>
        <v>1063000</v>
      </c>
      <c r="K59" s="15"/>
      <c r="L59" s="16" t="s">
        <v>89</v>
      </c>
      <c r="M59" s="17"/>
      <c r="N59" s="17"/>
    </row>
    <row r="60" spans="2:14" x14ac:dyDescent="0.25">
      <c r="B60" s="55">
        <v>3</v>
      </c>
      <c r="C60" s="8" t="s">
        <v>891</v>
      </c>
      <c r="D60" s="51" t="s">
        <v>886</v>
      </c>
      <c r="E60" s="51" t="s">
        <v>887</v>
      </c>
      <c r="F60" s="17" t="s">
        <v>887</v>
      </c>
      <c r="G60" s="47">
        <v>46156</v>
      </c>
      <c r="H60" s="52"/>
      <c r="I60" s="16">
        <v>1063000</v>
      </c>
      <c r="J60" s="49">
        <f t="shared" si="6"/>
        <v>1063000</v>
      </c>
      <c r="K60" s="50"/>
      <c r="L60" s="16" t="s">
        <v>89</v>
      </c>
      <c r="M60" s="17"/>
      <c r="N60" s="17"/>
    </row>
    <row r="61" spans="2:14" x14ac:dyDescent="0.25">
      <c r="B61" s="55">
        <v>4</v>
      </c>
      <c r="C61" s="8" t="s">
        <v>88</v>
      </c>
      <c r="D61" s="51" t="s">
        <v>881</v>
      </c>
      <c r="E61" s="51" t="s">
        <v>882</v>
      </c>
      <c r="F61" s="17" t="s">
        <v>230</v>
      </c>
      <c r="G61" s="47">
        <v>46156</v>
      </c>
      <c r="H61" s="52"/>
      <c r="I61" s="16">
        <v>2681500</v>
      </c>
      <c r="J61" s="49">
        <f t="shared" si="6"/>
        <v>2681500</v>
      </c>
      <c r="K61" s="50"/>
      <c r="L61" s="16" t="s">
        <v>89</v>
      </c>
      <c r="M61" s="17"/>
      <c r="N61" s="17"/>
    </row>
    <row r="62" spans="2:14" ht="15.75" x14ac:dyDescent="0.25">
      <c r="B62" s="122" t="s">
        <v>27</v>
      </c>
      <c r="C62" s="123"/>
      <c r="D62" s="123"/>
      <c r="E62" s="123"/>
      <c r="F62" s="123"/>
      <c r="G62" s="123"/>
      <c r="H62" s="123"/>
      <c r="I62" s="124"/>
      <c r="J62" s="39">
        <f>SUM(J58:J61)</f>
        <v>5464500</v>
      </c>
      <c r="K62" s="40">
        <f>SUM(K58:K61)</f>
        <v>0</v>
      </c>
      <c r="L62" s="28"/>
      <c r="M62" s="41">
        <f>SUM(J62+K62)</f>
        <v>5464500</v>
      </c>
      <c r="N62" s="53"/>
    </row>
    <row r="63" spans="2:14" x14ac:dyDescent="0.25">
      <c r="D63" s="42"/>
      <c r="I63" s="43"/>
    </row>
    <row r="64" spans="2:14" ht="15.75" x14ac:dyDescent="0.25">
      <c r="D64" s="42"/>
      <c r="H64" s="122" t="s">
        <v>28</v>
      </c>
      <c r="I64" s="124"/>
      <c r="J64" s="39">
        <f>SUM(J62+J56)</f>
        <v>7196600</v>
      </c>
      <c r="K64" s="40">
        <f>SUM(K62+K56)</f>
        <v>156000</v>
      </c>
      <c r="L64" s="28"/>
      <c r="M64" s="54"/>
      <c r="N64" s="21">
        <f>SUM(M62+M56)</f>
        <v>7352600</v>
      </c>
    </row>
    <row r="65" spans="4:14" x14ac:dyDescent="0.25">
      <c r="D65" s="42"/>
      <c r="I65" s="43"/>
    </row>
    <row r="66" spans="4:14" x14ac:dyDescent="0.25">
      <c r="D66" s="42"/>
      <c r="H66" s="125" t="s">
        <v>29</v>
      </c>
      <c r="I66" s="126"/>
      <c r="J66" s="56" t="s">
        <v>14</v>
      </c>
      <c r="K66" s="57" t="s">
        <v>15</v>
      </c>
      <c r="L66" s="17"/>
      <c r="M66" s="17"/>
      <c r="N66" s="17"/>
    </row>
    <row r="67" spans="4:14" ht="15.75" x14ac:dyDescent="0.25">
      <c r="D67" s="42"/>
      <c r="H67" s="129"/>
      <c r="I67" s="130"/>
      <c r="J67" s="39">
        <f>SUM(J64+J47)</f>
        <v>16036900</v>
      </c>
      <c r="K67" s="40">
        <f>SUM(K64+K47)</f>
        <v>4905418</v>
      </c>
      <c r="L67" s="28"/>
      <c r="M67" s="28"/>
      <c r="N67" s="58">
        <f>SUM(K67+J67)</f>
        <v>20942318</v>
      </c>
    </row>
    <row r="68" spans="4:14" x14ac:dyDescent="0.25">
      <c r="D68" s="42"/>
      <c r="I68" s="43"/>
      <c r="N68" s="59"/>
    </row>
    <row r="69" spans="4:14" x14ac:dyDescent="0.25">
      <c r="D69" s="2" t="s">
        <v>30</v>
      </c>
      <c r="E69" s="1"/>
      <c r="F69" s="1"/>
      <c r="G69" s="1"/>
      <c r="H69" s="1"/>
      <c r="I69" s="1"/>
      <c r="J69" s="1"/>
    </row>
    <row r="70" spans="4:14" x14ac:dyDescent="0.25">
      <c r="D70" s="2"/>
      <c r="E70" s="1"/>
      <c r="F70" s="1"/>
      <c r="G70" s="1"/>
      <c r="H70" s="1"/>
      <c r="I70" s="1"/>
      <c r="J70" s="1"/>
    </row>
    <row r="71" spans="4:14" x14ac:dyDescent="0.25">
      <c r="D71" s="3" t="s">
        <v>31</v>
      </c>
      <c r="E71" s="3"/>
      <c r="F71" s="3" t="s">
        <v>32</v>
      </c>
      <c r="G71" s="3"/>
      <c r="H71" s="3" t="s">
        <v>33</v>
      </c>
      <c r="I71" s="3"/>
      <c r="J71" s="3" t="s">
        <v>34</v>
      </c>
    </row>
    <row r="72" spans="4:14" x14ac:dyDescent="0.25">
      <c r="D72" s="3"/>
      <c r="E72" s="3"/>
      <c r="F72" s="3"/>
      <c r="G72" s="3"/>
      <c r="H72" s="3"/>
      <c r="I72" s="3"/>
      <c r="J72" s="3"/>
    </row>
    <row r="73" spans="4:14" x14ac:dyDescent="0.25">
      <c r="D73" s="3"/>
      <c r="E73" s="3"/>
      <c r="F73" s="3"/>
      <c r="G73" s="3"/>
      <c r="H73" s="3"/>
      <c r="I73" s="3"/>
      <c r="J73" s="3"/>
    </row>
    <row r="74" spans="4:14" x14ac:dyDescent="0.25">
      <c r="D74" s="3"/>
      <c r="E74" s="3"/>
      <c r="F74" s="3"/>
      <c r="G74" s="3"/>
      <c r="H74" s="3"/>
      <c r="I74" s="3"/>
      <c r="J74" s="3"/>
    </row>
    <row r="75" spans="4:14" x14ac:dyDescent="0.25">
      <c r="D75" s="3" t="s">
        <v>35</v>
      </c>
      <c r="E75" s="3"/>
      <c r="F75" s="3" t="s">
        <v>36</v>
      </c>
      <c r="G75" s="3"/>
      <c r="H75" s="3" t="s">
        <v>36</v>
      </c>
      <c r="I75" s="3"/>
      <c r="J75" s="3" t="s">
        <v>37</v>
      </c>
    </row>
    <row r="76" spans="4:14" x14ac:dyDescent="0.25">
      <c r="D76" s="42"/>
    </row>
    <row r="77" spans="4:14" x14ac:dyDescent="0.25">
      <c r="D77" s="42"/>
    </row>
    <row r="78" spans="4:14" x14ac:dyDescent="0.25">
      <c r="D78" s="42"/>
    </row>
    <row r="79" spans="4:14" x14ac:dyDescent="0.25">
      <c r="D79" s="42"/>
    </row>
    <row r="80" spans="4:14" x14ac:dyDescent="0.25">
      <c r="D80" s="42"/>
    </row>
  </sheetData>
  <mergeCells count="37">
    <mergeCell ref="B56:I56"/>
    <mergeCell ref="B57:N57"/>
    <mergeCell ref="B62:I62"/>
    <mergeCell ref="H64:I64"/>
    <mergeCell ref="H66:I67"/>
    <mergeCell ref="N50:N51"/>
    <mergeCell ref="B30:I30"/>
    <mergeCell ref="B31:N31"/>
    <mergeCell ref="B44:I44"/>
    <mergeCell ref="G47:I47"/>
    <mergeCell ref="B49:D49"/>
    <mergeCell ref="B50:B51"/>
    <mergeCell ref="C50:C51"/>
    <mergeCell ref="D50:D51"/>
    <mergeCell ref="E50:E51"/>
    <mergeCell ref="F50:F51"/>
    <mergeCell ref="G50:G51"/>
    <mergeCell ref="H50:H51"/>
    <mergeCell ref="I50:I51"/>
    <mergeCell ref="J50:L50"/>
    <mergeCell ref="M50:M51"/>
    <mergeCell ref="B12:N12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1:I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F5B4-EE09-4B31-92F5-3ED8ACA91827}">
  <dimension ref="B2:P82"/>
  <sheetViews>
    <sheetView topLeftCell="A49" workbookViewId="0">
      <selection activeCell="I72" sqref="I72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897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899</v>
      </c>
      <c r="E8" s="10" t="s">
        <v>900</v>
      </c>
      <c r="F8" s="11" t="s">
        <v>141</v>
      </c>
      <c r="G8" s="12">
        <v>46144</v>
      </c>
      <c r="H8" s="12">
        <v>46157</v>
      </c>
      <c r="I8" s="13">
        <v>327900</v>
      </c>
      <c r="J8" s="14">
        <f t="shared" ref="J8:J9" si="0">I8</f>
        <v>327900</v>
      </c>
      <c r="K8" s="15"/>
      <c r="L8" s="16" t="s">
        <v>89</v>
      </c>
      <c r="M8" s="16"/>
      <c r="N8" s="17"/>
    </row>
    <row r="9" spans="2:16" x14ac:dyDescent="0.25">
      <c r="B9" s="7">
        <v>2</v>
      </c>
      <c r="C9" s="8"/>
      <c r="D9" s="9" t="s">
        <v>901</v>
      </c>
      <c r="E9" s="10" t="s">
        <v>902</v>
      </c>
      <c r="F9" s="11" t="s">
        <v>903</v>
      </c>
      <c r="G9" s="12">
        <v>46138</v>
      </c>
      <c r="H9" s="12">
        <v>46151</v>
      </c>
      <c r="I9" s="13">
        <v>2151000</v>
      </c>
      <c r="J9" s="14">
        <f t="shared" si="0"/>
        <v>2151000</v>
      </c>
      <c r="K9" s="15"/>
      <c r="L9" s="16" t="s">
        <v>89</v>
      </c>
      <c r="M9" s="16"/>
      <c r="N9" s="17"/>
    </row>
    <row r="10" spans="2:16" x14ac:dyDescent="0.25">
      <c r="B10" s="7">
        <v>5</v>
      </c>
      <c r="C10" s="8"/>
      <c r="D10" s="9" t="s">
        <v>904</v>
      </c>
      <c r="E10" s="10" t="s">
        <v>905</v>
      </c>
      <c r="F10" s="11" t="s">
        <v>769</v>
      </c>
      <c r="G10" s="12">
        <v>46091</v>
      </c>
      <c r="H10" s="12">
        <v>46104</v>
      </c>
      <c r="I10" s="13">
        <v>3000000</v>
      </c>
      <c r="J10" s="14"/>
      <c r="K10" s="15">
        <v>1000000</v>
      </c>
      <c r="L10" s="16" t="s">
        <v>235</v>
      </c>
      <c r="M10" s="16"/>
      <c r="N10" s="17"/>
    </row>
    <row r="11" spans="2:16" x14ac:dyDescent="0.25">
      <c r="B11" s="7">
        <v>8</v>
      </c>
      <c r="C11" s="8"/>
      <c r="D11" s="9" t="s">
        <v>906</v>
      </c>
      <c r="E11" s="10" t="s">
        <v>41</v>
      </c>
      <c r="F11" s="11" t="s">
        <v>42</v>
      </c>
      <c r="G11" s="12">
        <v>46144</v>
      </c>
      <c r="H11" s="12">
        <v>46157</v>
      </c>
      <c r="I11" s="13">
        <v>261000</v>
      </c>
      <c r="J11" s="14"/>
      <c r="K11" s="15">
        <f t="shared" ref="K11:K12" si="1">I11</f>
        <v>261000</v>
      </c>
      <c r="L11" s="16" t="s">
        <v>89</v>
      </c>
      <c r="M11" s="16"/>
      <c r="N11" s="17"/>
    </row>
    <row r="12" spans="2:16" x14ac:dyDescent="0.25">
      <c r="B12" s="7">
        <v>9</v>
      </c>
      <c r="C12" s="8"/>
      <c r="D12" s="9" t="s">
        <v>907</v>
      </c>
      <c r="E12" s="10" t="s">
        <v>44</v>
      </c>
      <c r="F12" s="11" t="s">
        <v>39</v>
      </c>
      <c r="G12" s="12">
        <v>46144</v>
      </c>
      <c r="H12" s="12">
        <v>46157</v>
      </c>
      <c r="I12" s="13">
        <v>391500</v>
      </c>
      <c r="J12" s="14"/>
      <c r="K12" s="15">
        <f t="shared" si="1"/>
        <v>391500</v>
      </c>
      <c r="L12" s="16" t="s">
        <v>89</v>
      </c>
      <c r="M12" s="16"/>
      <c r="N12" s="17"/>
    </row>
    <row r="13" spans="2:16" ht="15.75" x14ac:dyDescent="0.25">
      <c r="B13" s="122" t="s">
        <v>12</v>
      </c>
      <c r="C13" s="123"/>
      <c r="D13" s="123"/>
      <c r="E13" s="123"/>
      <c r="F13" s="123"/>
      <c r="G13" s="123"/>
      <c r="H13" s="123"/>
      <c r="I13" s="124"/>
      <c r="J13" s="18">
        <f>SUM(J8:J12)</f>
        <v>2478900</v>
      </c>
      <c r="K13" s="19">
        <f>SUM(K8:K12)</f>
        <v>1652500</v>
      </c>
      <c r="L13" s="20"/>
      <c r="M13" s="21">
        <f>SUM(J13+K13)</f>
        <v>4131400</v>
      </c>
      <c r="N13" s="21"/>
    </row>
    <row r="14" spans="2:16" ht="15.75" x14ac:dyDescent="0.25">
      <c r="B14" s="141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72"/>
    </row>
    <row r="15" spans="2:16" x14ac:dyDescent="0.25">
      <c r="B15" s="7">
        <v>1</v>
      </c>
      <c r="C15" s="22" t="s">
        <v>21</v>
      </c>
      <c r="D15" s="9" t="s">
        <v>829</v>
      </c>
      <c r="E15" s="23" t="s">
        <v>830</v>
      </c>
      <c r="F15" s="24" t="s">
        <v>73</v>
      </c>
      <c r="G15" s="25">
        <v>46143</v>
      </c>
      <c r="H15" s="25">
        <v>46156</v>
      </c>
      <c r="I15" s="26">
        <v>177900</v>
      </c>
      <c r="J15" s="14">
        <f>I15</f>
        <v>177900</v>
      </c>
      <c r="K15" s="15"/>
      <c r="L15" s="16" t="s">
        <v>89</v>
      </c>
      <c r="M15" s="16"/>
      <c r="N15" s="17"/>
    </row>
    <row r="16" spans="2:16" x14ac:dyDescent="0.25">
      <c r="B16" s="7">
        <v>2</v>
      </c>
      <c r="C16" s="22"/>
      <c r="D16" s="9" t="s">
        <v>841</v>
      </c>
      <c r="E16" s="23" t="s">
        <v>842</v>
      </c>
      <c r="F16" s="24" t="s">
        <v>75</v>
      </c>
      <c r="G16" s="25">
        <v>46143</v>
      </c>
      <c r="H16" s="25">
        <v>46156</v>
      </c>
      <c r="I16" s="26">
        <v>100000</v>
      </c>
      <c r="J16" s="14">
        <f t="shared" ref="J16:J23" si="2">I16</f>
        <v>100000</v>
      </c>
      <c r="K16" s="15"/>
      <c r="L16" s="16" t="s">
        <v>89</v>
      </c>
      <c r="M16" s="16"/>
      <c r="N16" s="17"/>
    </row>
    <row r="17" spans="2:14" x14ac:dyDescent="0.25">
      <c r="B17" s="7">
        <v>3</v>
      </c>
      <c r="C17" s="22"/>
      <c r="D17" s="9" t="s">
        <v>908</v>
      </c>
      <c r="E17" s="23" t="s">
        <v>909</v>
      </c>
      <c r="F17" s="24" t="s">
        <v>54</v>
      </c>
      <c r="G17" s="25">
        <v>46144</v>
      </c>
      <c r="H17" s="25">
        <v>46157</v>
      </c>
      <c r="I17" s="26">
        <v>112800</v>
      </c>
      <c r="J17" s="14">
        <f t="shared" si="2"/>
        <v>112800</v>
      </c>
      <c r="K17" s="15"/>
      <c r="L17" s="16" t="s">
        <v>89</v>
      </c>
      <c r="M17" s="16"/>
      <c r="N17" s="17"/>
    </row>
    <row r="18" spans="2:14" x14ac:dyDescent="0.25">
      <c r="B18" s="7">
        <v>6</v>
      </c>
      <c r="C18" s="22"/>
      <c r="D18" s="9" t="s">
        <v>910</v>
      </c>
      <c r="E18" s="23" t="s">
        <v>911</v>
      </c>
      <c r="F18" s="24" t="s">
        <v>104</v>
      </c>
      <c r="G18" s="25">
        <v>46144</v>
      </c>
      <c r="H18" s="25">
        <v>46157</v>
      </c>
      <c r="I18" s="26">
        <v>327900</v>
      </c>
      <c r="J18" s="14">
        <f t="shared" si="2"/>
        <v>327900</v>
      </c>
      <c r="K18" s="15"/>
      <c r="L18" s="16" t="s">
        <v>89</v>
      </c>
      <c r="M18" s="16"/>
      <c r="N18" s="17"/>
    </row>
    <row r="19" spans="2:14" x14ac:dyDescent="0.25">
      <c r="B19" s="7">
        <v>7</v>
      </c>
      <c r="C19" s="22"/>
      <c r="D19" s="9" t="s">
        <v>912</v>
      </c>
      <c r="E19" s="23" t="s">
        <v>56</v>
      </c>
      <c r="F19" s="24" t="s">
        <v>51</v>
      </c>
      <c r="G19" s="25">
        <v>46144</v>
      </c>
      <c r="H19" s="25">
        <v>46157</v>
      </c>
      <c r="I19" s="26">
        <v>338400</v>
      </c>
      <c r="J19" s="14">
        <f t="shared" si="2"/>
        <v>338400</v>
      </c>
      <c r="K19" s="15"/>
      <c r="L19" s="16" t="s">
        <v>89</v>
      </c>
      <c r="M19" s="16"/>
      <c r="N19" s="17"/>
    </row>
    <row r="20" spans="2:14" x14ac:dyDescent="0.25">
      <c r="B20" s="7">
        <v>8</v>
      </c>
      <c r="C20" s="22"/>
      <c r="D20" s="9" t="s">
        <v>913</v>
      </c>
      <c r="E20" s="23" t="s">
        <v>914</v>
      </c>
      <c r="F20" s="24" t="s">
        <v>104</v>
      </c>
      <c r="G20" s="25">
        <v>46144</v>
      </c>
      <c r="H20" s="25">
        <v>46157</v>
      </c>
      <c r="I20" s="26">
        <v>327900</v>
      </c>
      <c r="J20" s="14">
        <v>150000</v>
      </c>
      <c r="K20" s="15"/>
      <c r="L20" s="16" t="s">
        <v>235</v>
      </c>
      <c r="M20" s="16"/>
      <c r="N20" s="17"/>
    </row>
    <row r="21" spans="2:14" x14ac:dyDescent="0.25">
      <c r="B21" s="7">
        <v>10</v>
      </c>
      <c r="C21" s="22"/>
      <c r="D21" s="9" t="s">
        <v>915</v>
      </c>
      <c r="E21" s="23" t="s">
        <v>609</v>
      </c>
      <c r="F21" s="24" t="s">
        <v>916</v>
      </c>
      <c r="G21" s="25">
        <v>46144</v>
      </c>
      <c r="H21" s="25">
        <v>46157</v>
      </c>
      <c r="I21" s="26">
        <v>645300</v>
      </c>
      <c r="J21" s="14">
        <f t="shared" si="2"/>
        <v>645300</v>
      </c>
      <c r="K21" s="15"/>
      <c r="L21" s="16" t="s">
        <v>89</v>
      </c>
      <c r="M21" s="16"/>
      <c r="N21" s="17"/>
    </row>
    <row r="22" spans="2:14" x14ac:dyDescent="0.25">
      <c r="B22" s="7">
        <v>11</v>
      </c>
      <c r="C22" s="22"/>
      <c r="D22" s="9" t="s">
        <v>132</v>
      </c>
      <c r="E22" s="23" t="s">
        <v>917</v>
      </c>
      <c r="F22" s="24" t="s">
        <v>99</v>
      </c>
      <c r="G22" s="25">
        <v>46144</v>
      </c>
      <c r="H22" s="25">
        <v>46157</v>
      </c>
      <c r="I22" s="26">
        <v>327900</v>
      </c>
      <c r="J22" s="14">
        <f t="shared" si="2"/>
        <v>327900</v>
      </c>
      <c r="K22" s="15"/>
      <c r="L22" s="16" t="s">
        <v>89</v>
      </c>
      <c r="M22" s="16"/>
      <c r="N22" s="17"/>
    </row>
    <row r="23" spans="2:14" x14ac:dyDescent="0.25">
      <c r="B23" s="7">
        <v>13</v>
      </c>
      <c r="C23" s="22"/>
      <c r="D23" s="9" t="s">
        <v>918</v>
      </c>
      <c r="E23" s="23" t="s">
        <v>58</v>
      </c>
      <c r="F23" s="24" t="s">
        <v>54</v>
      </c>
      <c r="G23" s="25">
        <v>46144</v>
      </c>
      <c r="H23" s="25">
        <v>46157</v>
      </c>
      <c r="I23" s="26">
        <v>327900</v>
      </c>
      <c r="J23" s="14">
        <f t="shared" si="2"/>
        <v>327900</v>
      </c>
      <c r="K23" s="15"/>
      <c r="L23" s="16" t="s">
        <v>89</v>
      </c>
      <c r="M23" s="16"/>
      <c r="N23" s="17"/>
    </row>
    <row r="24" spans="2:14" x14ac:dyDescent="0.25">
      <c r="B24" s="7">
        <v>14</v>
      </c>
      <c r="C24" s="22"/>
      <c r="D24" s="9" t="s">
        <v>919</v>
      </c>
      <c r="E24" s="23" t="s">
        <v>832</v>
      </c>
      <c r="F24" s="24" t="s">
        <v>833</v>
      </c>
      <c r="G24" s="25">
        <v>46129</v>
      </c>
      <c r="H24" s="25">
        <v>46142</v>
      </c>
      <c r="I24" s="26">
        <v>690000</v>
      </c>
      <c r="J24" s="14"/>
      <c r="K24" s="15">
        <f>I24</f>
        <v>690000</v>
      </c>
      <c r="L24" s="16" t="s">
        <v>89</v>
      </c>
      <c r="M24" s="16"/>
      <c r="N24" s="17"/>
    </row>
    <row r="25" spans="2:14" x14ac:dyDescent="0.25">
      <c r="B25" s="7">
        <v>16</v>
      </c>
      <c r="C25" s="22"/>
      <c r="D25" s="9" t="s">
        <v>920</v>
      </c>
      <c r="E25" s="23" t="s">
        <v>909</v>
      </c>
      <c r="F25" s="24" t="s">
        <v>54</v>
      </c>
      <c r="G25" s="25">
        <v>46144</v>
      </c>
      <c r="H25" s="25">
        <v>46157</v>
      </c>
      <c r="I25" s="26">
        <v>34278</v>
      </c>
      <c r="J25" s="14"/>
      <c r="K25" s="15">
        <f t="shared" ref="K25:K28" si="3">I25</f>
        <v>34278</v>
      </c>
      <c r="L25" s="16" t="s">
        <v>89</v>
      </c>
      <c r="M25" s="16"/>
      <c r="N25" s="17"/>
    </row>
    <row r="26" spans="2:14" x14ac:dyDescent="0.25">
      <c r="B26" s="7">
        <v>17</v>
      </c>
      <c r="C26" s="22"/>
      <c r="D26" s="9" t="s">
        <v>921</v>
      </c>
      <c r="E26" s="23" t="s">
        <v>911</v>
      </c>
      <c r="F26" s="24" t="s">
        <v>104</v>
      </c>
      <c r="G26" s="25">
        <v>46144</v>
      </c>
      <c r="H26" s="25">
        <v>46157</v>
      </c>
      <c r="I26" s="26">
        <v>34278</v>
      </c>
      <c r="J26" s="14"/>
      <c r="K26" s="15">
        <f t="shared" si="3"/>
        <v>34278</v>
      </c>
      <c r="L26" s="16" t="s">
        <v>89</v>
      </c>
      <c r="M26" s="16"/>
      <c r="N26" s="17"/>
    </row>
    <row r="27" spans="2:14" x14ac:dyDescent="0.25">
      <c r="B27" s="7">
        <v>18</v>
      </c>
      <c r="C27" s="22"/>
      <c r="D27" s="9" t="s">
        <v>922</v>
      </c>
      <c r="E27" s="23" t="s">
        <v>53</v>
      </c>
      <c r="F27" s="24" t="s">
        <v>54</v>
      </c>
      <c r="G27" s="25">
        <v>46144</v>
      </c>
      <c r="H27" s="25">
        <v>46157</v>
      </c>
      <c r="I27" s="26">
        <v>981000</v>
      </c>
      <c r="J27" s="14"/>
      <c r="K27" s="15">
        <v>400000</v>
      </c>
      <c r="L27" s="16" t="s">
        <v>235</v>
      </c>
      <c r="M27" s="16"/>
      <c r="N27" s="17"/>
    </row>
    <row r="28" spans="2:14" x14ac:dyDescent="0.25">
      <c r="B28" s="7">
        <v>19</v>
      </c>
      <c r="C28" s="22"/>
      <c r="D28" s="9" t="s">
        <v>923</v>
      </c>
      <c r="E28" s="23" t="s">
        <v>56</v>
      </c>
      <c r="F28" s="24" t="s">
        <v>51</v>
      </c>
      <c r="G28" s="25">
        <v>46144</v>
      </c>
      <c r="H28" s="25">
        <v>46157</v>
      </c>
      <c r="I28" s="26">
        <v>217500</v>
      </c>
      <c r="J28" s="14"/>
      <c r="K28" s="15">
        <f t="shared" si="3"/>
        <v>217500</v>
      </c>
      <c r="L28" s="16" t="s">
        <v>89</v>
      </c>
      <c r="M28" s="16"/>
      <c r="N28" s="17"/>
    </row>
    <row r="29" spans="2:14" ht="15.75" x14ac:dyDescent="0.25">
      <c r="B29" s="143" t="s">
        <v>12</v>
      </c>
      <c r="C29" s="144"/>
      <c r="D29" s="144"/>
      <c r="E29" s="144"/>
      <c r="F29" s="144"/>
      <c r="G29" s="144"/>
      <c r="H29" s="144"/>
      <c r="I29" s="170"/>
      <c r="J29" s="18">
        <f>SUM(J15:J28)</f>
        <v>2508100</v>
      </c>
      <c r="K29" s="19">
        <f>SUM(K15:K28)</f>
        <v>1376056</v>
      </c>
      <c r="L29" s="28"/>
      <c r="M29" s="29">
        <f>SUM(J29+K29)</f>
        <v>3884156</v>
      </c>
      <c r="N29" s="21"/>
    </row>
    <row r="30" spans="2:14" ht="15.75" x14ac:dyDescent="0.25">
      <c r="B30" s="147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71"/>
    </row>
    <row r="31" spans="2:14" ht="15.75" x14ac:dyDescent="0.25">
      <c r="B31" s="67">
        <v>1</v>
      </c>
      <c r="C31" s="31" t="s">
        <v>22</v>
      </c>
      <c r="D31" s="55" t="s">
        <v>924</v>
      </c>
      <c r="E31" s="71" t="s">
        <v>925</v>
      </c>
      <c r="F31" s="71" t="s">
        <v>174</v>
      </c>
      <c r="G31" s="68">
        <v>46144</v>
      </c>
      <c r="H31" s="68">
        <v>46157</v>
      </c>
      <c r="I31" s="69">
        <v>327900</v>
      </c>
      <c r="J31" s="82">
        <f>I31</f>
        <v>327900</v>
      </c>
      <c r="K31" s="79"/>
      <c r="L31" s="16" t="s">
        <v>89</v>
      </c>
      <c r="M31" s="67"/>
      <c r="N31" s="65"/>
    </row>
    <row r="32" spans="2:14" ht="15.75" x14ac:dyDescent="0.25">
      <c r="B32" s="67">
        <v>2</v>
      </c>
      <c r="C32" s="31"/>
      <c r="D32" s="55" t="s">
        <v>926</v>
      </c>
      <c r="E32" s="71" t="s">
        <v>927</v>
      </c>
      <c r="F32" s="71" t="s">
        <v>174</v>
      </c>
      <c r="G32" s="68">
        <v>46144</v>
      </c>
      <c r="H32" s="68">
        <v>46157</v>
      </c>
      <c r="I32" s="69">
        <v>430200</v>
      </c>
      <c r="J32" s="82">
        <f t="shared" ref="J32:J40" si="4">I32</f>
        <v>430200</v>
      </c>
      <c r="K32" s="79"/>
      <c r="L32" s="16" t="s">
        <v>89</v>
      </c>
      <c r="M32" s="67"/>
      <c r="N32" s="65"/>
    </row>
    <row r="33" spans="2:14" ht="15.75" x14ac:dyDescent="0.25">
      <c r="B33" s="67">
        <v>3</v>
      </c>
      <c r="C33" s="31"/>
      <c r="D33" s="55" t="s">
        <v>928</v>
      </c>
      <c r="E33" s="71" t="s">
        <v>929</v>
      </c>
      <c r="F33" s="71" t="s">
        <v>930</v>
      </c>
      <c r="G33" s="68">
        <v>46144</v>
      </c>
      <c r="H33" s="68">
        <v>46157</v>
      </c>
      <c r="I33" s="69">
        <v>215100</v>
      </c>
      <c r="J33" s="82">
        <f t="shared" si="4"/>
        <v>215100</v>
      </c>
      <c r="K33" s="79"/>
      <c r="L33" s="16" t="s">
        <v>89</v>
      </c>
      <c r="M33" s="67"/>
      <c r="N33" s="65"/>
    </row>
    <row r="34" spans="2:14" ht="15.75" x14ac:dyDescent="0.25">
      <c r="B34" s="67">
        <v>4</v>
      </c>
      <c r="C34" s="31"/>
      <c r="D34" s="55" t="s">
        <v>931</v>
      </c>
      <c r="E34" s="71" t="s">
        <v>406</v>
      </c>
      <c r="F34" s="71" t="s">
        <v>932</v>
      </c>
      <c r="G34" s="68">
        <v>46144</v>
      </c>
      <c r="H34" s="68">
        <v>46157</v>
      </c>
      <c r="I34" s="69">
        <v>543000</v>
      </c>
      <c r="J34" s="82">
        <f t="shared" si="4"/>
        <v>543000</v>
      </c>
      <c r="K34" s="79"/>
      <c r="L34" s="16" t="s">
        <v>89</v>
      </c>
      <c r="M34" s="67"/>
      <c r="N34" s="65"/>
    </row>
    <row r="35" spans="2:14" ht="15.75" x14ac:dyDescent="0.25">
      <c r="B35" s="67">
        <v>5</v>
      </c>
      <c r="C35" s="31"/>
      <c r="D35" s="55" t="s">
        <v>933</v>
      </c>
      <c r="E35" s="71" t="s">
        <v>439</v>
      </c>
      <c r="F35" s="71" t="s">
        <v>932</v>
      </c>
      <c r="G35" s="68">
        <v>46144</v>
      </c>
      <c r="H35" s="68">
        <v>46157</v>
      </c>
      <c r="I35" s="69">
        <v>543000</v>
      </c>
      <c r="J35" s="82">
        <f t="shared" si="4"/>
        <v>543000</v>
      </c>
      <c r="K35" s="79"/>
      <c r="L35" s="16" t="s">
        <v>89</v>
      </c>
      <c r="M35" s="67"/>
      <c r="N35" s="65"/>
    </row>
    <row r="36" spans="2:14" ht="15.75" x14ac:dyDescent="0.25">
      <c r="B36" s="67">
        <v>6</v>
      </c>
      <c r="C36" s="31"/>
      <c r="D36" s="55" t="s">
        <v>934</v>
      </c>
      <c r="E36" s="71" t="s">
        <v>935</v>
      </c>
      <c r="F36" s="71" t="s">
        <v>936</v>
      </c>
      <c r="G36" s="68">
        <v>46144</v>
      </c>
      <c r="H36" s="68">
        <v>46157</v>
      </c>
      <c r="I36" s="69">
        <v>1301100</v>
      </c>
      <c r="J36" s="82">
        <f t="shared" si="4"/>
        <v>1301100</v>
      </c>
      <c r="K36" s="79"/>
      <c r="L36" s="16" t="s">
        <v>89</v>
      </c>
      <c r="M36" s="67"/>
      <c r="N36" s="65"/>
    </row>
    <row r="37" spans="2:14" ht="15.75" x14ac:dyDescent="0.25">
      <c r="B37" s="67">
        <v>7</v>
      </c>
      <c r="C37" s="31"/>
      <c r="D37" s="55" t="s">
        <v>937</v>
      </c>
      <c r="E37" s="71" t="s">
        <v>938</v>
      </c>
      <c r="F37" s="71" t="s">
        <v>939</v>
      </c>
      <c r="G37" s="68">
        <v>46144</v>
      </c>
      <c r="H37" s="68">
        <v>46157</v>
      </c>
      <c r="I37" s="69">
        <v>327900</v>
      </c>
      <c r="J37" s="82">
        <f t="shared" si="4"/>
        <v>327900</v>
      </c>
      <c r="K37" s="79"/>
      <c r="L37" s="16" t="s">
        <v>89</v>
      </c>
      <c r="M37" s="67"/>
      <c r="N37" s="65"/>
    </row>
    <row r="38" spans="2:14" ht="15.75" x14ac:dyDescent="0.25">
      <c r="B38" s="67">
        <v>8</v>
      </c>
      <c r="C38" s="31"/>
      <c r="D38" s="55" t="s">
        <v>940</v>
      </c>
      <c r="E38" s="71" t="s">
        <v>941</v>
      </c>
      <c r="F38" s="71" t="s">
        <v>939</v>
      </c>
      <c r="G38" s="68">
        <v>46144</v>
      </c>
      <c r="H38" s="68">
        <v>46157</v>
      </c>
      <c r="I38" s="69">
        <v>225600</v>
      </c>
      <c r="J38" s="82">
        <f t="shared" si="4"/>
        <v>225600</v>
      </c>
      <c r="K38" s="79"/>
      <c r="L38" s="16" t="s">
        <v>89</v>
      </c>
      <c r="M38" s="67"/>
      <c r="N38" s="65"/>
    </row>
    <row r="39" spans="2:14" ht="15.75" x14ac:dyDescent="0.25">
      <c r="B39" s="67">
        <v>9</v>
      </c>
      <c r="C39" s="31"/>
      <c r="D39" s="55" t="s">
        <v>942</v>
      </c>
      <c r="E39" s="71" t="s">
        <v>943</v>
      </c>
      <c r="F39" s="71" t="s">
        <v>939</v>
      </c>
      <c r="G39" s="68">
        <v>46144</v>
      </c>
      <c r="H39" s="68">
        <v>46157</v>
      </c>
      <c r="I39" s="69">
        <v>430200</v>
      </c>
      <c r="J39" s="82">
        <f t="shared" si="4"/>
        <v>430200</v>
      </c>
      <c r="K39" s="79"/>
      <c r="L39" s="16" t="s">
        <v>89</v>
      </c>
      <c r="M39" s="67"/>
      <c r="N39" s="65"/>
    </row>
    <row r="40" spans="2:14" ht="15.75" x14ac:dyDescent="0.25">
      <c r="B40" s="67">
        <v>10</v>
      </c>
      <c r="C40" s="31"/>
      <c r="D40" s="55" t="s">
        <v>944</v>
      </c>
      <c r="E40" s="71" t="s">
        <v>945</v>
      </c>
      <c r="F40" s="71" t="s">
        <v>939</v>
      </c>
      <c r="G40" s="68">
        <v>46144</v>
      </c>
      <c r="H40" s="68">
        <v>46157</v>
      </c>
      <c r="I40" s="69">
        <v>430200</v>
      </c>
      <c r="J40" s="82">
        <f t="shared" si="4"/>
        <v>430200</v>
      </c>
      <c r="K40" s="79"/>
      <c r="L40" s="16" t="s">
        <v>89</v>
      </c>
      <c r="M40" s="67"/>
      <c r="N40" s="65"/>
    </row>
    <row r="41" spans="2:14" ht="15.75" x14ac:dyDescent="0.25">
      <c r="B41" s="67">
        <v>11</v>
      </c>
      <c r="C41" s="31"/>
      <c r="D41" s="55" t="s">
        <v>946</v>
      </c>
      <c r="E41" s="71" t="s">
        <v>947</v>
      </c>
      <c r="F41" s="71" t="s">
        <v>863</v>
      </c>
      <c r="G41" s="68">
        <v>46143</v>
      </c>
      <c r="H41" s="68">
        <v>46156</v>
      </c>
      <c r="I41" s="69">
        <v>334200</v>
      </c>
      <c r="J41" s="82"/>
      <c r="K41" s="70">
        <f>I41</f>
        <v>334200</v>
      </c>
      <c r="L41" s="16" t="s">
        <v>89</v>
      </c>
      <c r="M41" s="67"/>
      <c r="N41" s="65"/>
    </row>
    <row r="42" spans="2:14" ht="15.75" x14ac:dyDescent="0.25">
      <c r="B42" s="67">
        <v>12</v>
      </c>
      <c r="C42" s="31"/>
      <c r="D42" s="55" t="s">
        <v>948</v>
      </c>
      <c r="E42" s="71" t="s">
        <v>865</v>
      </c>
      <c r="F42" s="71" t="s">
        <v>796</v>
      </c>
      <c r="G42" s="68">
        <v>46143</v>
      </c>
      <c r="H42" s="68">
        <v>46156</v>
      </c>
      <c r="I42" s="69">
        <v>342780</v>
      </c>
      <c r="J42" s="82"/>
      <c r="K42" s="70">
        <f t="shared" ref="K42:K49" si="5">I42</f>
        <v>342780</v>
      </c>
      <c r="L42" s="16" t="s">
        <v>89</v>
      </c>
      <c r="M42" s="67"/>
      <c r="N42" s="65"/>
    </row>
    <row r="43" spans="2:14" ht="15.75" x14ac:dyDescent="0.25">
      <c r="B43" s="67">
        <v>13</v>
      </c>
      <c r="C43" s="31"/>
      <c r="D43" s="55" t="s">
        <v>898</v>
      </c>
      <c r="E43" s="71" t="s">
        <v>925</v>
      </c>
      <c r="F43" s="71" t="s">
        <v>174</v>
      </c>
      <c r="G43" s="68">
        <v>46144</v>
      </c>
      <c r="H43" s="68">
        <v>46157</v>
      </c>
      <c r="I43" s="69">
        <v>68556</v>
      </c>
      <c r="J43" s="82"/>
      <c r="K43" s="70">
        <f t="shared" si="5"/>
        <v>68556</v>
      </c>
      <c r="L43" s="16" t="s">
        <v>89</v>
      </c>
      <c r="M43" s="67"/>
      <c r="N43" s="65"/>
    </row>
    <row r="44" spans="2:14" ht="15.75" x14ac:dyDescent="0.25">
      <c r="B44" s="67">
        <v>14</v>
      </c>
      <c r="C44" s="67"/>
      <c r="D44" s="55" t="s">
        <v>949</v>
      </c>
      <c r="E44" s="71" t="s">
        <v>927</v>
      </c>
      <c r="F44" s="71" t="s">
        <v>174</v>
      </c>
      <c r="G44" s="68">
        <v>46144</v>
      </c>
      <c r="H44" s="68">
        <v>46157</v>
      </c>
      <c r="I44" s="69">
        <v>85400</v>
      </c>
      <c r="J44" s="82"/>
      <c r="K44" s="70">
        <f t="shared" si="5"/>
        <v>85400</v>
      </c>
      <c r="L44" s="16" t="s">
        <v>89</v>
      </c>
      <c r="M44" s="67"/>
      <c r="N44" s="65"/>
    </row>
    <row r="45" spans="2:14" ht="15.75" x14ac:dyDescent="0.25">
      <c r="B45" s="67">
        <v>15</v>
      </c>
      <c r="C45" s="67"/>
      <c r="D45" s="55" t="s">
        <v>950</v>
      </c>
      <c r="E45" s="71" t="s">
        <v>935</v>
      </c>
      <c r="F45" s="71" t="s">
        <v>936</v>
      </c>
      <c r="G45" s="68">
        <v>46144</v>
      </c>
      <c r="H45" s="68">
        <v>46157</v>
      </c>
      <c r="I45" s="69">
        <v>68556</v>
      </c>
      <c r="J45" s="82"/>
      <c r="K45" s="70">
        <f t="shared" si="5"/>
        <v>68556</v>
      </c>
      <c r="L45" s="16" t="s">
        <v>89</v>
      </c>
      <c r="M45" s="67"/>
      <c r="N45" s="65"/>
    </row>
    <row r="46" spans="2:14" ht="15.75" x14ac:dyDescent="0.25">
      <c r="B46" s="67">
        <v>16</v>
      </c>
      <c r="C46" s="67"/>
      <c r="D46" s="55" t="s">
        <v>951</v>
      </c>
      <c r="E46" s="71" t="s">
        <v>938</v>
      </c>
      <c r="F46" s="71" t="s">
        <v>939</v>
      </c>
      <c r="G46" s="68">
        <v>46144</v>
      </c>
      <c r="H46" s="68">
        <v>46157</v>
      </c>
      <c r="I46" s="69">
        <v>68556</v>
      </c>
      <c r="J46" s="82"/>
      <c r="K46" s="70">
        <f t="shared" si="5"/>
        <v>68556</v>
      </c>
      <c r="L46" s="16" t="s">
        <v>89</v>
      </c>
      <c r="M46" s="67"/>
      <c r="N46" s="65"/>
    </row>
    <row r="47" spans="2:14" ht="15.75" x14ac:dyDescent="0.25">
      <c r="B47" s="67">
        <v>17</v>
      </c>
      <c r="C47" s="67"/>
      <c r="D47" s="55" t="s">
        <v>952</v>
      </c>
      <c r="E47" s="71" t="s">
        <v>60</v>
      </c>
      <c r="F47" s="71" t="s">
        <v>61</v>
      </c>
      <c r="G47" s="68">
        <v>46144</v>
      </c>
      <c r="H47" s="68">
        <v>46157</v>
      </c>
      <c r="I47" s="69">
        <v>87000</v>
      </c>
      <c r="J47" s="82"/>
      <c r="K47" s="70">
        <f t="shared" si="5"/>
        <v>87000</v>
      </c>
      <c r="L47" s="16" t="s">
        <v>89</v>
      </c>
      <c r="M47" s="67"/>
      <c r="N47" s="65"/>
    </row>
    <row r="48" spans="2:14" ht="15.75" x14ac:dyDescent="0.25">
      <c r="B48" s="67">
        <v>18</v>
      </c>
      <c r="C48" s="67"/>
      <c r="D48" s="55" t="s">
        <v>953</v>
      </c>
      <c r="E48" s="71" t="s">
        <v>929</v>
      </c>
      <c r="F48" s="71" t="s">
        <v>930</v>
      </c>
      <c r="G48" s="68">
        <v>46144</v>
      </c>
      <c r="H48" s="68">
        <v>46157</v>
      </c>
      <c r="I48" s="69">
        <v>52800</v>
      </c>
      <c r="J48" s="78"/>
      <c r="K48" s="70">
        <f t="shared" si="5"/>
        <v>52800</v>
      </c>
      <c r="L48" s="16" t="s">
        <v>89</v>
      </c>
      <c r="M48" s="67"/>
      <c r="N48" s="65"/>
    </row>
    <row r="49" spans="2:14" ht="15.75" x14ac:dyDescent="0.25">
      <c r="B49" s="67">
        <v>19</v>
      </c>
      <c r="C49" s="67"/>
      <c r="D49" s="55" t="s">
        <v>954</v>
      </c>
      <c r="E49" s="71" t="s">
        <v>406</v>
      </c>
      <c r="F49" s="71" t="s">
        <v>932</v>
      </c>
      <c r="G49" s="68">
        <v>46144</v>
      </c>
      <c r="H49" s="68">
        <v>46157</v>
      </c>
      <c r="I49" s="69">
        <v>52800</v>
      </c>
      <c r="J49" s="78"/>
      <c r="K49" s="70">
        <f t="shared" si="5"/>
        <v>52800</v>
      </c>
      <c r="L49" s="16" t="s">
        <v>89</v>
      </c>
      <c r="M49" s="67"/>
      <c r="N49" s="65"/>
    </row>
    <row r="50" spans="2:14" ht="15.75" x14ac:dyDescent="0.25">
      <c r="B50" s="157" t="s">
        <v>12</v>
      </c>
      <c r="C50" s="158"/>
      <c r="D50" s="158"/>
      <c r="E50" s="158"/>
      <c r="F50" s="158"/>
      <c r="G50" s="158"/>
      <c r="H50" s="158"/>
      <c r="I50" s="159"/>
      <c r="J50" s="60">
        <f>SUM(J31:J49)</f>
        <v>4774200</v>
      </c>
      <c r="K50" s="61">
        <f>SUM(K31:K49)</f>
        <v>1160648</v>
      </c>
      <c r="L50" s="62"/>
      <c r="M50" s="63">
        <f>SUM(K50+J50)</f>
        <v>5934848</v>
      </c>
      <c r="N50" s="64"/>
    </row>
    <row r="51" spans="2:14" x14ac:dyDescent="0.25">
      <c r="D51" s="42"/>
      <c r="I51" s="43"/>
      <c r="N51" s="44"/>
    </row>
    <row r="52" spans="2:14" x14ac:dyDescent="0.25">
      <c r="D52" s="42"/>
      <c r="I52" s="43"/>
      <c r="N52" s="44"/>
    </row>
    <row r="53" spans="2:14" ht="15.75" x14ac:dyDescent="0.25">
      <c r="D53" s="42"/>
      <c r="G53" s="150" t="s">
        <v>23</v>
      </c>
      <c r="H53" s="150"/>
      <c r="I53" s="150"/>
      <c r="J53" s="18">
        <f>SUM(J50+J29+J13)</f>
        <v>9761200</v>
      </c>
      <c r="K53" s="40">
        <f>SUM(K50+K29+K13)</f>
        <v>4189204</v>
      </c>
      <c r="L53" s="28"/>
      <c r="M53" s="28"/>
      <c r="N53" s="21">
        <f>SUM(J53+K53)</f>
        <v>13950404</v>
      </c>
    </row>
    <row r="54" spans="2:14" x14ac:dyDescent="0.25">
      <c r="D54" s="42"/>
      <c r="I54" s="43"/>
      <c r="N54" s="44"/>
    </row>
    <row r="55" spans="2:14" x14ac:dyDescent="0.25">
      <c r="B55" s="160" t="s">
        <v>24</v>
      </c>
      <c r="C55" s="160"/>
      <c r="D55" s="160"/>
      <c r="I55" s="43"/>
      <c r="N55" s="44"/>
    </row>
    <row r="56" spans="2:14" ht="15.75" x14ac:dyDescent="0.25">
      <c r="B56" s="154" t="s">
        <v>3</v>
      </c>
      <c r="C56" s="161" t="s">
        <v>25</v>
      </c>
      <c r="D56" s="154" t="s">
        <v>5</v>
      </c>
      <c r="E56" s="154" t="s">
        <v>6</v>
      </c>
      <c r="F56" s="154" t="s">
        <v>7</v>
      </c>
      <c r="G56" s="154" t="s">
        <v>8</v>
      </c>
      <c r="H56" s="154" t="s">
        <v>9</v>
      </c>
      <c r="I56" s="161" t="s">
        <v>26</v>
      </c>
      <c r="J56" s="143" t="s">
        <v>11</v>
      </c>
      <c r="K56" s="144"/>
      <c r="L56" s="170"/>
      <c r="M56" s="133" t="s">
        <v>12</v>
      </c>
      <c r="N56" s="154" t="s">
        <v>13</v>
      </c>
    </row>
    <row r="57" spans="2:14" ht="15.75" x14ac:dyDescent="0.25">
      <c r="B57" s="155"/>
      <c r="C57" s="162"/>
      <c r="D57" s="155"/>
      <c r="E57" s="155"/>
      <c r="F57" s="155"/>
      <c r="G57" s="155"/>
      <c r="H57" s="155"/>
      <c r="I57" s="162"/>
      <c r="J57" s="4" t="s">
        <v>14</v>
      </c>
      <c r="K57" s="5" t="s">
        <v>15</v>
      </c>
      <c r="L57" s="6" t="s">
        <v>16</v>
      </c>
      <c r="M57" s="134"/>
      <c r="N57" s="155"/>
    </row>
    <row r="58" spans="2:14" ht="15" customHeight="1" x14ac:dyDescent="0.25">
      <c r="B58" s="27">
        <v>1</v>
      </c>
      <c r="C58" s="31" t="s">
        <v>88</v>
      </c>
      <c r="D58" s="45" t="s">
        <v>955</v>
      </c>
      <c r="E58" s="46" t="s">
        <v>956</v>
      </c>
      <c r="F58" s="46" t="s">
        <v>957</v>
      </c>
      <c r="G58" s="47">
        <v>46157</v>
      </c>
      <c r="H58" s="47"/>
      <c r="I58" s="48">
        <v>1063000</v>
      </c>
      <c r="J58" s="49">
        <f>I58</f>
        <v>1063000</v>
      </c>
      <c r="K58" s="50"/>
      <c r="L58" s="16" t="s">
        <v>89</v>
      </c>
      <c r="M58" s="17"/>
      <c r="N58" s="17"/>
    </row>
    <row r="59" spans="2:14" ht="15" customHeight="1" x14ac:dyDescent="0.25">
      <c r="B59" s="27">
        <v>2</v>
      </c>
      <c r="C59" s="31" t="s">
        <v>88</v>
      </c>
      <c r="D59" s="51" t="s">
        <v>958</v>
      </c>
      <c r="E59" s="51" t="s">
        <v>532</v>
      </c>
      <c r="F59" s="17" t="s">
        <v>47</v>
      </c>
      <c r="G59" s="47">
        <v>46157</v>
      </c>
      <c r="H59" s="52"/>
      <c r="I59" s="16">
        <v>2126000</v>
      </c>
      <c r="J59" s="49">
        <f>I59</f>
        <v>2126000</v>
      </c>
      <c r="K59" s="50"/>
      <c r="L59" s="16" t="s">
        <v>89</v>
      </c>
      <c r="M59" s="17"/>
      <c r="N59" s="17"/>
    </row>
    <row r="60" spans="2:14" ht="15.75" x14ac:dyDescent="0.25">
      <c r="B60" s="122" t="s">
        <v>27</v>
      </c>
      <c r="C60" s="123"/>
      <c r="D60" s="123"/>
      <c r="E60" s="123"/>
      <c r="F60" s="123"/>
      <c r="G60" s="123"/>
      <c r="H60" s="123"/>
      <c r="I60" s="124"/>
      <c r="J60" s="39">
        <f>SUM(J58:J59)</f>
        <v>3189000</v>
      </c>
      <c r="K60" s="40">
        <f>SUM(K58:K59)</f>
        <v>0</v>
      </c>
      <c r="L60" s="28"/>
      <c r="M60" s="41">
        <f>SUM(J60+K60)</f>
        <v>3189000</v>
      </c>
      <c r="N60" s="53"/>
    </row>
    <row r="61" spans="2:14" ht="15.75" x14ac:dyDescent="0.25">
      <c r="B61" s="139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63"/>
    </row>
    <row r="62" spans="2:14" x14ac:dyDescent="0.25">
      <c r="B62" s="55">
        <v>1</v>
      </c>
      <c r="C62" s="8" t="s">
        <v>87</v>
      </c>
      <c r="D62" s="51" t="s">
        <v>959</v>
      </c>
      <c r="E62" s="51" t="s">
        <v>63</v>
      </c>
      <c r="F62" s="17" t="s">
        <v>64</v>
      </c>
      <c r="G62" s="47">
        <v>46157</v>
      </c>
      <c r="H62" s="52"/>
      <c r="I62" s="16">
        <v>860000</v>
      </c>
      <c r="J62" s="49">
        <f>I62</f>
        <v>860000</v>
      </c>
      <c r="K62" s="50"/>
      <c r="L62" s="16" t="s">
        <v>89</v>
      </c>
      <c r="M62" s="17"/>
      <c r="N62" s="17"/>
    </row>
    <row r="63" spans="2:14" x14ac:dyDescent="0.25">
      <c r="B63" s="55">
        <v>2</v>
      </c>
      <c r="C63" s="8" t="s">
        <v>87</v>
      </c>
      <c r="D63" s="51" t="s">
        <v>960</v>
      </c>
      <c r="E63" s="51" t="s">
        <v>961</v>
      </c>
      <c r="F63" s="17" t="s">
        <v>119</v>
      </c>
      <c r="G63" s="47">
        <v>46157</v>
      </c>
      <c r="H63" s="52"/>
      <c r="I63" s="16">
        <v>385000</v>
      </c>
      <c r="J63" s="49"/>
      <c r="K63" s="15">
        <f>I63</f>
        <v>385000</v>
      </c>
      <c r="L63" s="16" t="s">
        <v>89</v>
      </c>
      <c r="M63" s="17"/>
      <c r="N63" s="17"/>
    </row>
    <row r="64" spans="2:14" ht="15.75" x14ac:dyDescent="0.25">
      <c r="B64" s="122" t="s">
        <v>27</v>
      </c>
      <c r="C64" s="123"/>
      <c r="D64" s="123"/>
      <c r="E64" s="123"/>
      <c r="F64" s="123"/>
      <c r="G64" s="123"/>
      <c r="H64" s="123"/>
      <c r="I64" s="124"/>
      <c r="J64" s="39">
        <f>SUM(J62:J63)</f>
        <v>860000</v>
      </c>
      <c r="K64" s="40">
        <f>SUM(K62:K63)</f>
        <v>385000</v>
      </c>
      <c r="L64" s="28"/>
      <c r="M64" s="41">
        <f>SUM(J64+K64)</f>
        <v>1245000</v>
      </c>
      <c r="N64" s="53"/>
    </row>
    <row r="65" spans="4:14" x14ac:dyDescent="0.25">
      <c r="D65" s="42"/>
      <c r="I65" s="43"/>
    </row>
    <row r="66" spans="4:14" ht="15.75" x14ac:dyDescent="0.25">
      <c r="D66" s="42"/>
      <c r="H66" s="122" t="s">
        <v>28</v>
      </c>
      <c r="I66" s="124"/>
      <c r="J66" s="39">
        <f>SUM(J64+J60)</f>
        <v>4049000</v>
      </c>
      <c r="K66" s="40">
        <f>SUM(K64+K60)</f>
        <v>385000</v>
      </c>
      <c r="L66" s="28"/>
      <c r="M66" s="54"/>
      <c r="N66" s="21">
        <f>SUM(M64+M60)</f>
        <v>4434000</v>
      </c>
    </row>
    <row r="67" spans="4:14" x14ac:dyDescent="0.25">
      <c r="D67" s="42"/>
      <c r="I67" s="43"/>
    </row>
    <row r="68" spans="4:14" x14ac:dyDescent="0.25">
      <c r="D68" s="42"/>
      <c r="H68" s="125" t="s">
        <v>29</v>
      </c>
      <c r="I68" s="126"/>
      <c r="J68" s="56" t="s">
        <v>14</v>
      </c>
      <c r="K68" s="57" t="s">
        <v>15</v>
      </c>
      <c r="L68" s="17"/>
      <c r="M68" s="17"/>
      <c r="N68" s="17"/>
    </row>
    <row r="69" spans="4:14" ht="15.75" x14ac:dyDescent="0.25">
      <c r="D69" s="42"/>
      <c r="H69" s="129"/>
      <c r="I69" s="130"/>
      <c r="J69" s="39">
        <f>SUM(J66+J53)</f>
        <v>13810200</v>
      </c>
      <c r="K69" s="40">
        <f>SUM(K66+K53)</f>
        <v>4574204</v>
      </c>
      <c r="L69" s="28"/>
      <c r="M69" s="28"/>
      <c r="N69" s="58">
        <f>SUM(K69+J69)</f>
        <v>18384404</v>
      </c>
    </row>
    <row r="70" spans="4:14" x14ac:dyDescent="0.25">
      <c r="D70" s="42"/>
      <c r="I70" s="43"/>
      <c r="N70" s="59"/>
    </row>
    <row r="71" spans="4:14" x14ac:dyDescent="0.25">
      <c r="D71" s="2" t="s">
        <v>30</v>
      </c>
      <c r="E71" s="1"/>
      <c r="F71" s="1"/>
      <c r="G71" s="1"/>
      <c r="H71" s="1"/>
      <c r="I71" s="1"/>
      <c r="J71" s="1"/>
    </row>
    <row r="72" spans="4:14" x14ac:dyDescent="0.25">
      <c r="D72" s="2"/>
      <c r="E72" s="1"/>
      <c r="F72" s="1"/>
      <c r="G72" s="1"/>
      <c r="H72" s="1"/>
      <c r="I72" s="1"/>
      <c r="J72" s="1"/>
    </row>
    <row r="73" spans="4:14" x14ac:dyDescent="0.25">
      <c r="D73" s="3" t="s">
        <v>31</v>
      </c>
      <c r="E73" s="3"/>
      <c r="F73" s="3" t="s">
        <v>32</v>
      </c>
      <c r="G73" s="3"/>
      <c r="H73" s="3" t="s">
        <v>33</v>
      </c>
      <c r="I73" s="3"/>
      <c r="J73" s="3" t="s">
        <v>34</v>
      </c>
    </row>
    <row r="74" spans="4:14" x14ac:dyDescent="0.25">
      <c r="D74" s="3"/>
      <c r="E74" s="3"/>
      <c r="F74" s="3"/>
      <c r="G74" s="3"/>
      <c r="H74" s="3"/>
      <c r="I74" s="3"/>
      <c r="J74" s="3"/>
    </row>
    <row r="75" spans="4:14" x14ac:dyDescent="0.25">
      <c r="D75" s="3"/>
      <c r="E75" s="3"/>
      <c r="F75" s="3"/>
      <c r="G75" s="3"/>
      <c r="H75" s="3"/>
      <c r="I75" s="3"/>
      <c r="J75" s="3"/>
    </row>
    <row r="76" spans="4:14" x14ac:dyDescent="0.25">
      <c r="D76" s="3"/>
      <c r="E76" s="3"/>
      <c r="F76" s="3"/>
      <c r="G76" s="3"/>
      <c r="H76" s="3"/>
      <c r="I76" s="3"/>
      <c r="J76" s="3"/>
    </row>
    <row r="77" spans="4:14" x14ac:dyDescent="0.25">
      <c r="D77" s="3" t="s">
        <v>35</v>
      </c>
      <c r="E77" s="3"/>
      <c r="F77" s="3" t="s">
        <v>36</v>
      </c>
      <c r="G77" s="3"/>
      <c r="H77" s="3" t="s">
        <v>36</v>
      </c>
      <c r="I77" s="3"/>
      <c r="J77" s="3" t="s">
        <v>37</v>
      </c>
    </row>
    <row r="78" spans="4:14" x14ac:dyDescent="0.25">
      <c r="D78" s="42"/>
    </row>
    <row r="79" spans="4:14" x14ac:dyDescent="0.25">
      <c r="D79" s="42"/>
    </row>
    <row r="80" spans="4:14" x14ac:dyDescent="0.25">
      <c r="D80" s="42"/>
    </row>
    <row r="81" spans="4:4" x14ac:dyDescent="0.25">
      <c r="D81" s="42"/>
    </row>
    <row r="82" spans="4:4" x14ac:dyDescent="0.25">
      <c r="D82" s="42"/>
    </row>
  </sheetData>
  <mergeCells count="37">
    <mergeCell ref="B14:N14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3:I13"/>
    <mergeCell ref="N56:N57"/>
    <mergeCell ref="B29:I29"/>
    <mergeCell ref="B30:N30"/>
    <mergeCell ref="B50:I50"/>
    <mergeCell ref="G53:I53"/>
    <mergeCell ref="B55:D55"/>
    <mergeCell ref="B56:B57"/>
    <mergeCell ref="C56:C57"/>
    <mergeCell ref="D56:D57"/>
    <mergeCell ref="E56:E57"/>
    <mergeCell ref="F56:F57"/>
    <mergeCell ref="G56:G57"/>
    <mergeCell ref="H56:H57"/>
    <mergeCell ref="I56:I57"/>
    <mergeCell ref="J56:L56"/>
    <mergeCell ref="M56:M57"/>
    <mergeCell ref="B60:I60"/>
    <mergeCell ref="B61:N61"/>
    <mergeCell ref="B64:I64"/>
    <mergeCell ref="H66:I66"/>
    <mergeCell ref="H68:I69"/>
  </mergeCells>
  <pageMargins left="0" right="0" top="0" bottom="0" header="0" footer="0"/>
  <pageSetup paperSize="9" scale="72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AD35-F4F1-4634-A631-130DD678B5C7}">
  <dimension ref="B2:P87"/>
  <sheetViews>
    <sheetView workbookViewId="0">
      <selection activeCell="B1" sqref="B1:N82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5.7109375" customWidth="1"/>
    <col min="11" max="11" width="17.7109375" customWidth="1"/>
    <col min="12" max="12" width="11.7109375" customWidth="1"/>
    <col min="13" max="13" width="16.85546875" customWidth="1"/>
    <col min="14" max="14" width="16.42578125" customWidth="1"/>
  </cols>
  <sheetData>
    <row r="2" spans="2:16" x14ac:dyDescent="0.25">
      <c r="B2" s="1" t="s">
        <v>0</v>
      </c>
    </row>
    <row r="3" spans="2:16" x14ac:dyDescent="0.25">
      <c r="B3" s="152" t="s">
        <v>1</v>
      </c>
      <c r="C3" s="152"/>
      <c r="D3" s="152"/>
    </row>
    <row r="4" spans="2:16" x14ac:dyDescent="0.25">
      <c r="J4" s="1"/>
      <c r="K4" s="149" t="s">
        <v>962</v>
      </c>
      <c r="L4" s="149"/>
      <c r="M4" s="149"/>
      <c r="N4" s="149"/>
    </row>
    <row r="5" spans="2:16" x14ac:dyDescent="0.25">
      <c r="B5" s="153" t="s">
        <v>2</v>
      </c>
      <c r="C5" s="153"/>
      <c r="D5" s="153"/>
      <c r="P5" t="s">
        <v>90</v>
      </c>
    </row>
    <row r="6" spans="2:16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54" t="s">
        <v>9</v>
      </c>
      <c r="I6" s="154" t="s">
        <v>10</v>
      </c>
      <c r="J6" s="143" t="s">
        <v>11</v>
      </c>
      <c r="K6" s="144"/>
      <c r="L6" s="170"/>
      <c r="M6" s="133" t="s">
        <v>12</v>
      </c>
      <c r="N6" s="154" t="s">
        <v>13</v>
      </c>
    </row>
    <row r="7" spans="2:16" ht="15.75" x14ac:dyDescent="0.25">
      <c r="B7" s="155"/>
      <c r="C7" s="155"/>
      <c r="D7" s="155"/>
      <c r="E7" s="155"/>
      <c r="F7" s="155"/>
      <c r="G7" s="155"/>
      <c r="H7" s="155"/>
      <c r="I7" s="155"/>
      <c r="J7" s="4" t="s">
        <v>14</v>
      </c>
      <c r="K7" s="5" t="s">
        <v>15</v>
      </c>
      <c r="L7" s="6" t="s">
        <v>16</v>
      </c>
      <c r="M7" s="134"/>
      <c r="N7" s="155"/>
    </row>
    <row r="8" spans="2:16" x14ac:dyDescent="0.25">
      <c r="B8" s="7">
        <v>1</v>
      </c>
      <c r="C8" s="8" t="s">
        <v>17</v>
      </c>
      <c r="D8" s="9" t="s">
        <v>963</v>
      </c>
      <c r="E8" s="10" t="s">
        <v>95</v>
      </c>
      <c r="F8" s="11" t="s">
        <v>96</v>
      </c>
      <c r="G8" s="12">
        <v>46146</v>
      </c>
      <c r="H8" s="12">
        <v>46159</v>
      </c>
      <c r="I8" s="13">
        <v>327900</v>
      </c>
      <c r="J8" s="14">
        <f>I8</f>
        <v>327900</v>
      </c>
      <c r="K8" s="15"/>
      <c r="L8" s="16" t="s">
        <v>89</v>
      </c>
      <c r="M8" s="16"/>
      <c r="N8" s="17"/>
    </row>
    <row r="9" spans="2:16" x14ac:dyDescent="0.25">
      <c r="B9" s="7">
        <v>2</v>
      </c>
      <c r="C9" s="8"/>
      <c r="D9" s="9" t="s">
        <v>964</v>
      </c>
      <c r="E9" s="10" t="s">
        <v>965</v>
      </c>
      <c r="F9" s="11" t="s">
        <v>294</v>
      </c>
      <c r="G9" s="12">
        <v>46146</v>
      </c>
      <c r="H9" s="12">
        <v>46159</v>
      </c>
      <c r="I9" s="13">
        <v>2602200</v>
      </c>
      <c r="J9" s="14">
        <f t="shared" ref="J9:J10" si="0">I9</f>
        <v>2602200</v>
      </c>
      <c r="K9" s="15"/>
      <c r="L9" s="16" t="s">
        <v>89</v>
      </c>
      <c r="M9" s="16"/>
      <c r="N9" s="17"/>
    </row>
    <row r="10" spans="2:16" x14ac:dyDescent="0.25">
      <c r="B10" s="7">
        <v>3</v>
      </c>
      <c r="C10" s="8"/>
      <c r="D10" s="9" t="s">
        <v>966</v>
      </c>
      <c r="E10" s="10" t="s">
        <v>967</v>
      </c>
      <c r="F10" s="11" t="s">
        <v>968</v>
      </c>
      <c r="G10" s="12">
        <v>46146</v>
      </c>
      <c r="H10" s="12">
        <v>46159</v>
      </c>
      <c r="I10" s="13">
        <v>2151000</v>
      </c>
      <c r="J10" s="14">
        <f t="shared" si="0"/>
        <v>2151000</v>
      </c>
      <c r="K10" s="15"/>
      <c r="L10" s="16" t="s">
        <v>89</v>
      </c>
      <c r="M10" s="16"/>
      <c r="N10" s="17"/>
    </row>
    <row r="11" spans="2:16" x14ac:dyDescent="0.25">
      <c r="B11" s="7">
        <v>4</v>
      </c>
      <c r="C11" s="8"/>
      <c r="D11" s="9" t="s">
        <v>969</v>
      </c>
      <c r="E11" s="10" t="s">
        <v>95</v>
      </c>
      <c r="F11" s="11" t="s">
        <v>96</v>
      </c>
      <c r="G11" s="12">
        <v>46146</v>
      </c>
      <c r="H11" s="12">
        <v>46159</v>
      </c>
      <c r="I11" s="13">
        <v>137112</v>
      </c>
      <c r="J11" s="14"/>
      <c r="K11" s="15">
        <f>I11</f>
        <v>137112</v>
      </c>
      <c r="L11" s="16" t="s">
        <v>89</v>
      </c>
      <c r="M11" s="16"/>
      <c r="N11" s="17"/>
    </row>
    <row r="12" spans="2:16" x14ac:dyDescent="0.25">
      <c r="B12" s="7">
        <v>5</v>
      </c>
      <c r="C12" s="8"/>
      <c r="D12" s="9" t="s">
        <v>970</v>
      </c>
      <c r="E12" s="10" t="s">
        <v>967</v>
      </c>
      <c r="F12" s="11" t="s">
        <v>968</v>
      </c>
      <c r="G12" s="12">
        <v>46146</v>
      </c>
      <c r="H12" s="12">
        <v>46159</v>
      </c>
      <c r="I12" s="13">
        <v>1713900</v>
      </c>
      <c r="J12" s="14"/>
      <c r="K12" s="15">
        <f t="shared" ref="K12" si="1">I12</f>
        <v>1713900</v>
      </c>
      <c r="L12" s="16" t="s">
        <v>89</v>
      </c>
      <c r="M12" s="16"/>
      <c r="N12" s="17"/>
    </row>
    <row r="13" spans="2:16" ht="15.75" x14ac:dyDescent="0.25">
      <c r="B13" s="122" t="s">
        <v>12</v>
      </c>
      <c r="C13" s="123"/>
      <c r="D13" s="123"/>
      <c r="E13" s="123"/>
      <c r="F13" s="123"/>
      <c r="G13" s="123"/>
      <c r="H13" s="123"/>
      <c r="I13" s="124"/>
      <c r="J13" s="18">
        <f>SUM(J8:J12)</f>
        <v>5081100</v>
      </c>
      <c r="K13" s="19">
        <f>SUM(K8:K12)</f>
        <v>1851012</v>
      </c>
      <c r="L13" s="20"/>
      <c r="M13" s="21">
        <f>SUM(J13+K13)</f>
        <v>6932112</v>
      </c>
      <c r="N13" s="21"/>
    </row>
    <row r="14" spans="2:16" ht="15.75" x14ac:dyDescent="0.25">
      <c r="B14" s="141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72"/>
    </row>
    <row r="15" spans="2:16" x14ac:dyDescent="0.25">
      <c r="B15" s="7">
        <v>1</v>
      </c>
      <c r="C15" s="22" t="s">
        <v>21</v>
      </c>
      <c r="D15" s="9" t="s">
        <v>971</v>
      </c>
      <c r="E15" s="23" t="s">
        <v>972</v>
      </c>
      <c r="F15" s="24" t="s">
        <v>54</v>
      </c>
      <c r="G15" s="25">
        <v>46144</v>
      </c>
      <c r="H15" s="25">
        <v>46157</v>
      </c>
      <c r="I15" s="26">
        <v>655800</v>
      </c>
      <c r="J15" s="14">
        <f>I15</f>
        <v>655800</v>
      </c>
      <c r="K15" s="15"/>
      <c r="L15" s="16" t="s">
        <v>89</v>
      </c>
      <c r="M15" s="16"/>
      <c r="N15" s="17"/>
    </row>
    <row r="16" spans="2:16" x14ac:dyDescent="0.25">
      <c r="B16" s="7">
        <v>2</v>
      </c>
      <c r="C16" s="22"/>
      <c r="D16" s="9" t="s">
        <v>973</v>
      </c>
      <c r="E16" s="23" t="s">
        <v>103</v>
      </c>
      <c r="F16" s="24" t="s">
        <v>104</v>
      </c>
      <c r="G16" s="25">
        <v>46144</v>
      </c>
      <c r="H16" s="25">
        <v>46157</v>
      </c>
      <c r="I16" s="26">
        <v>215100</v>
      </c>
      <c r="J16" s="14">
        <f t="shared" ref="J16:J24" si="2">I16</f>
        <v>215100</v>
      </c>
      <c r="K16" s="15"/>
      <c r="L16" s="16" t="s">
        <v>89</v>
      </c>
      <c r="M16" s="16"/>
      <c r="N16" s="17"/>
    </row>
    <row r="17" spans="2:14" x14ac:dyDescent="0.25">
      <c r="B17" s="7">
        <v>3</v>
      </c>
      <c r="C17" s="22"/>
      <c r="D17" s="9" t="s">
        <v>974</v>
      </c>
      <c r="E17" s="23" t="s">
        <v>101</v>
      </c>
      <c r="F17" s="24" t="s">
        <v>51</v>
      </c>
      <c r="G17" s="25">
        <v>46144</v>
      </c>
      <c r="H17" s="25">
        <v>46157</v>
      </c>
      <c r="I17" s="26">
        <v>215100</v>
      </c>
      <c r="J17" s="14">
        <f t="shared" si="2"/>
        <v>215100</v>
      </c>
      <c r="K17" s="15"/>
      <c r="L17" s="16" t="s">
        <v>89</v>
      </c>
      <c r="M17" s="16"/>
      <c r="N17" s="17"/>
    </row>
    <row r="18" spans="2:14" x14ac:dyDescent="0.25">
      <c r="B18" s="7">
        <v>4</v>
      </c>
      <c r="C18" s="22"/>
      <c r="D18" s="9" t="s">
        <v>975</v>
      </c>
      <c r="E18" s="23" t="s">
        <v>976</v>
      </c>
      <c r="F18" s="24" t="s">
        <v>205</v>
      </c>
      <c r="G18" s="25">
        <v>46146</v>
      </c>
      <c r="H18" s="25">
        <v>46159</v>
      </c>
      <c r="I18" s="26">
        <v>1075500</v>
      </c>
      <c r="J18" s="14">
        <f t="shared" si="2"/>
        <v>1075500</v>
      </c>
      <c r="K18" s="15"/>
      <c r="L18" s="16" t="s">
        <v>89</v>
      </c>
      <c r="M18" s="16"/>
      <c r="N18" s="17"/>
    </row>
    <row r="19" spans="2:14" x14ac:dyDescent="0.25">
      <c r="B19" s="7">
        <v>5</v>
      </c>
      <c r="C19" s="22"/>
      <c r="D19" s="9" t="s">
        <v>977</v>
      </c>
      <c r="E19" s="23" t="s">
        <v>978</v>
      </c>
      <c r="F19" s="24" t="s">
        <v>205</v>
      </c>
      <c r="G19" s="25">
        <v>46146</v>
      </c>
      <c r="H19" s="25">
        <v>46159</v>
      </c>
      <c r="I19" s="26">
        <v>1639500</v>
      </c>
      <c r="J19" s="14">
        <f t="shared" si="2"/>
        <v>1639500</v>
      </c>
      <c r="K19" s="15"/>
      <c r="L19" s="16" t="s">
        <v>89</v>
      </c>
      <c r="M19" s="16"/>
      <c r="N19" s="17"/>
    </row>
    <row r="20" spans="2:14" x14ac:dyDescent="0.25">
      <c r="B20" s="7">
        <v>6</v>
      </c>
      <c r="C20" s="22"/>
      <c r="D20" s="9" t="s">
        <v>979</v>
      </c>
      <c r="E20" s="23" t="s">
        <v>980</v>
      </c>
      <c r="F20" s="24" t="s">
        <v>981</v>
      </c>
      <c r="G20" s="25">
        <v>46146</v>
      </c>
      <c r="H20" s="25">
        <v>46159</v>
      </c>
      <c r="I20" s="26">
        <v>327900</v>
      </c>
      <c r="J20" s="14">
        <f t="shared" si="2"/>
        <v>327900</v>
      </c>
      <c r="K20" s="15"/>
      <c r="L20" s="16" t="s">
        <v>89</v>
      </c>
      <c r="M20" s="16"/>
      <c r="N20" s="17"/>
    </row>
    <row r="21" spans="2:14" x14ac:dyDescent="0.25">
      <c r="B21" s="7">
        <v>7</v>
      </c>
      <c r="C21" s="22"/>
      <c r="D21" s="9" t="s">
        <v>982</v>
      </c>
      <c r="E21" s="23" t="s">
        <v>112</v>
      </c>
      <c r="F21" s="24" t="s">
        <v>113</v>
      </c>
      <c r="G21" s="25">
        <v>46146</v>
      </c>
      <c r="H21" s="25">
        <v>46159</v>
      </c>
      <c r="I21" s="26">
        <v>215100</v>
      </c>
      <c r="J21" s="14">
        <f t="shared" si="2"/>
        <v>215100</v>
      </c>
      <c r="K21" s="15"/>
      <c r="L21" s="16" t="s">
        <v>89</v>
      </c>
      <c r="M21" s="16"/>
      <c r="N21" s="17"/>
    </row>
    <row r="22" spans="2:14" x14ac:dyDescent="0.25">
      <c r="B22" s="7">
        <v>8</v>
      </c>
      <c r="C22" s="22"/>
      <c r="D22" s="9" t="s">
        <v>983</v>
      </c>
      <c r="E22" s="23" t="s">
        <v>106</v>
      </c>
      <c r="F22" s="24" t="s">
        <v>107</v>
      </c>
      <c r="G22" s="25">
        <v>46146</v>
      </c>
      <c r="H22" s="25">
        <v>46159</v>
      </c>
      <c r="I22" s="26">
        <v>1188300</v>
      </c>
      <c r="J22" s="14">
        <f t="shared" si="2"/>
        <v>1188300</v>
      </c>
      <c r="K22" s="15"/>
      <c r="L22" s="16" t="s">
        <v>89</v>
      </c>
      <c r="M22" s="16"/>
      <c r="N22" s="17"/>
    </row>
    <row r="23" spans="2:14" x14ac:dyDescent="0.25">
      <c r="B23" s="7">
        <v>9</v>
      </c>
      <c r="C23" s="22"/>
      <c r="D23" s="9" t="s">
        <v>985</v>
      </c>
      <c r="E23" s="23" t="s">
        <v>115</v>
      </c>
      <c r="F23" s="24" t="s">
        <v>116</v>
      </c>
      <c r="G23" s="25">
        <v>46146</v>
      </c>
      <c r="H23" s="25">
        <v>46159</v>
      </c>
      <c r="I23" s="26">
        <v>645300</v>
      </c>
      <c r="J23" s="14">
        <f t="shared" si="2"/>
        <v>645300</v>
      </c>
      <c r="K23" s="15"/>
      <c r="L23" s="16" t="s">
        <v>89</v>
      </c>
      <c r="M23" s="16"/>
      <c r="N23" s="17"/>
    </row>
    <row r="24" spans="2:14" x14ac:dyDescent="0.25">
      <c r="B24" s="7">
        <v>10</v>
      </c>
      <c r="C24" s="22"/>
      <c r="D24" s="9" t="s">
        <v>986</v>
      </c>
      <c r="E24" s="23" t="s">
        <v>987</v>
      </c>
      <c r="F24" s="24" t="s">
        <v>110</v>
      </c>
      <c r="G24" s="25">
        <v>46146</v>
      </c>
      <c r="H24" s="25">
        <v>46159</v>
      </c>
      <c r="I24" s="26">
        <v>2151000</v>
      </c>
      <c r="J24" s="14">
        <f t="shared" si="2"/>
        <v>2151000</v>
      </c>
      <c r="K24" s="15"/>
      <c r="L24" s="16" t="s">
        <v>89</v>
      </c>
      <c r="M24" s="16"/>
      <c r="N24" s="17"/>
    </row>
    <row r="25" spans="2:14" x14ac:dyDescent="0.25">
      <c r="B25" s="7">
        <v>11</v>
      </c>
      <c r="C25" s="22"/>
      <c r="D25" s="9" t="s">
        <v>988</v>
      </c>
      <c r="E25" s="23" t="s">
        <v>989</v>
      </c>
      <c r="F25" s="24" t="s">
        <v>99</v>
      </c>
      <c r="G25" s="25">
        <v>46130</v>
      </c>
      <c r="H25" s="25">
        <v>46143</v>
      </c>
      <c r="I25" s="26">
        <v>435000</v>
      </c>
      <c r="J25" s="14"/>
      <c r="K25" s="15">
        <f>I25</f>
        <v>435000</v>
      </c>
      <c r="L25" s="16" t="s">
        <v>89</v>
      </c>
      <c r="M25" s="16"/>
      <c r="N25" s="17"/>
    </row>
    <row r="26" spans="2:14" x14ac:dyDescent="0.25">
      <c r="B26" s="7">
        <v>12</v>
      </c>
      <c r="C26" s="22"/>
      <c r="D26" s="9" t="s">
        <v>990</v>
      </c>
      <c r="E26" s="23" t="s">
        <v>164</v>
      </c>
      <c r="F26" s="24" t="s">
        <v>165</v>
      </c>
      <c r="G26" s="25">
        <v>46132</v>
      </c>
      <c r="H26" s="25">
        <v>46145</v>
      </c>
      <c r="I26" s="26">
        <v>633600</v>
      </c>
      <c r="J26" s="14"/>
      <c r="K26" s="15">
        <v>200000</v>
      </c>
      <c r="L26" s="16" t="s">
        <v>235</v>
      </c>
      <c r="M26" s="16"/>
      <c r="N26" s="17"/>
    </row>
    <row r="27" spans="2:14" x14ac:dyDescent="0.25">
      <c r="B27" s="7">
        <v>13</v>
      </c>
      <c r="C27" s="22"/>
      <c r="D27" s="9" t="s">
        <v>991</v>
      </c>
      <c r="E27" s="23" t="s">
        <v>984</v>
      </c>
      <c r="F27" s="24" t="s">
        <v>165</v>
      </c>
      <c r="G27" s="25">
        <v>46146</v>
      </c>
      <c r="H27" s="25">
        <v>46159</v>
      </c>
      <c r="I27" s="26">
        <v>342780</v>
      </c>
      <c r="J27" s="14"/>
      <c r="K27" s="15">
        <f t="shared" ref="K27:K30" si="3">I27</f>
        <v>342780</v>
      </c>
      <c r="L27" s="16" t="s">
        <v>89</v>
      </c>
      <c r="M27" s="16"/>
      <c r="N27" s="17"/>
    </row>
    <row r="28" spans="2:14" x14ac:dyDescent="0.25">
      <c r="B28" s="7">
        <v>14</v>
      </c>
      <c r="C28" s="22"/>
      <c r="D28" s="9" t="s">
        <v>992</v>
      </c>
      <c r="E28" s="23" t="s">
        <v>217</v>
      </c>
      <c r="F28" s="24" t="s">
        <v>218</v>
      </c>
      <c r="G28" s="25">
        <v>46146</v>
      </c>
      <c r="H28" s="25">
        <v>46159</v>
      </c>
      <c r="I28" s="26">
        <v>137113</v>
      </c>
      <c r="J28" s="14"/>
      <c r="K28" s="15">
        <f t="shared" si="3"/>
        <v>137113</v>
      </c>
      <c r="L28" s="16" t="s">
        <v>89</v>
      </c>
      <c r="M28" s="16"/>
      <c r="N28" s="17"/>
    </row>
    <row r="29" spans="2:14" x14ac:dyDescent="0.25">
      <c r="B29" s="7">
        <v>15</v>
      </c>
      <c r="C29" s="22"/>
      <c r="D29" s="9" t="s">
        <v>993</v>
      </c>
      <c r="E29" s="23" t="s">
        <v>220</v>
      </c>
      <c r="F29" s="24" t="s">
        <v>218</v>
      </c>
      <c r="G29" s="25">
        <v>46146</v>
      </c>
      <c r="H29" s="25">
        <v>46159</v>
      </c>
      <c r="I29" s="26">
        <v>685560</v>
      </c>
      <c r="J29" s="14"/>
      <c r="K29" s="15">
        <f t="shared" si="3"/>
        <v>685560</v>
      </c>
      <c r="L29" s="16" t="s">
        <v>89</v>
      </c>
      <c r="M29" s="16"/>
      <c r="N29" s="17"/>
    </row>
    <row r="30" spans="2:14" x14ac:dyDescent="0.25">
      <c r="B30" s="7">
        <v>16</v>
      </c>
      <c r="C30" s="22"/>
      <c r="D30" s="9" t="s">
        <v>994</v>
      </c>
      <c r="E30" s="23" t="s">
        <v>976</v>
      </c>
      <c r="F30" s="24" t="s">
        <v>205</v>
      </c>
      <c r="G30" s="25">
        <v>46146</v>
      </c>
      <c r="H30" s="25">
        <v>46159</v>
      </c>
      <c r="I30" s="26">
        <v>144000</v>
      </c>
      <c r="J30" s="14"/>
      <c r="K30" s="15">
        <f t="shared" si="3"/>
        <v>144000</v>
      </c>
      <c r="L30" s="16" t="s">
        <v>89</v>
      </c>
      <c r="M30" s="16"/>
      <c r="N30" s="17"/>
    </row>
    <row r="31" spans="2:14" ht="15.75" x14ac:dyDescent="0.25">
      <c r="B31" s="143" t="s">
        <v>12</v>
      </c>
      <c r="C31" s="144"/>
      <c r="D31" s="144"/>
      <c r="E31" s="144"/>
      <c r="F31" s="144"/>
      <c r="G31" s="144"/>
      <c r="H31" s="144"/>
      <c r="I31" s="170"/>
      <c r="J31" s="18">
        <f>SUM(J15:J30)</f>
        <v>8328600</v>
      </c>
      <c r="K31" s="19">
        <f>SUM(K15:K30)</f>
        <v>1944453</v>
      </c>
      <c r="L31" s="28"/>
      <c r="M31" s="29">
        <f>SUM(J31+K31)</f>
        <v>10273053</v>
      </c>
      <c r="N31" s="21"/>
    </row>
    <row r="32" spans="2:14" ht="15.75" x14ac:dyDescent="0.25">
      <c r="B32" s="147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71"/>
    </row>
    <row r="33" spans="2:14" ht="15.75" x14ac:dyDescent="0.25">
      <c r="B33" s="67">
        <v>1</v>
      </c>
      <c r="C33" s="31" t="s">
        <v>22</v>
      </c>
      <c r="D33" s="55" t="s">
        <v>995</v>
      </c>
      <c r="E33" s="71" t="s">
        <v>996</v>
      </c>
      <c r="F33" s="71" t="s">
        <v>561</v>
      </c>
      <c r="G33" s="68">
        <v>46146</v>
      </c>
      <c r="H33" s="68">
        <v>46159</v>
      </c>
      <c r="I33" s="69">
        <v>870900</v>
      </c>
      <c r="J33" s="82">
        <f>I33</f>
        <v>870900</v>
      </c>
      <c r="K33" s="79"/>
      <c r="L33" s="16" t="s">
        <v>89</v>
      </c>
      <c r="M33" s="67"/>
      <c r="N33" s="65"/>
    </row>
    <row r="34" spans="2:14" ht="15.75" x14ac:dyDescent="0.25">
      <c r="B34" s="67">
        <v>2</v>
      </c>
      <c r="C34" s="31"/>
      <c r="D34" s="55" t="s">
        <v>997</v>
      </c>
      <c r="E34" s="71" t="s">
        <v>998</v>
      </c>
      <c r="F34" s="71" t="s">
        <v>999</v>
      </c>
      <c r="G34" s="68">
        <v>46146</v>
      </c>
      <c r="H34" s="68">
        <v>46159</v>
      </c>
      <c r="I34" s="69">
        <v>327900</v>
      </c>
      <c r="J34" s="82">
        <f t="shared" ref="J34:J40" si="4">I34</f>
        <v>327900</v>
      </c>
      <c r="K34" s="79"/>
      <c r="L34" s="16" t="s">
        <v>89</v>
      </c>
      <c r="M34" s="67"/>
      <c r="N34" s="65"/>
    </row>
    <row r="35" spans="2:14" ht="15.75" x14ac:dyDescent="0.25">
      <c r="B35" s="67">
        <v>3</v>
      </c>
      <c r="C35" s="31"/>
      <c r="D35" s="55" t="s">
        <v>1000</v>
      </c>
      <c r="E35" s="71" t="s">
        <v>1001</v>
      </c>
      <c r="F35" s="71" t="s">
        <v>1002</v>
      </c>
      <c r="G35" s="68">
        <v>46146</v>
      </c>
      <c r="H35" s="68">
        <v>46159</v>
      </c>
      <c r="I35" s="69">
        <v>870900</v>
      </c>
      <c r="J35" s="82">
        <f t="shared" si="4"/>
        <v>870900</v>
      </c>
      <c r="K35" s="79"/>
      <c r="L35" s="16" t="s">
        <v>89</v>
      </c>
      <c r="M35" s="67"/>
      <c r="N35" s="65"/>
    </row>
    <row r="36" spans="2:14" ht="15.75" x14ac:dyDescent="0.25">
      <c r="B36" s="67">
        <v>4</v>
      </c>
      <c r="C36" s="31"/>
      <c r="D36" s="55" t="s">
        <v>1003</v>
      </c>
      <c r="E36" s="71" t="s">
        <v>1004</v>
      </c>
      <c r="F36" s="71" t="s">
        <v>122</v>
      </c>
      <c r="G36" s="68">
        <v>46146</v>
      </c>
      <c r="H36" s="68">
        <v>46159</v>
      </c>
      <c r="I36" s="69">
        <v>1516200</v>
      </c>
      <c r="J36" s="82">
        <f t="shared" si="4"/>
        <v>1516200</v>
      </c>
      <c r="K36" s="79"/>
      <c r="L36" s="16" t="s">
        <v>89</v>
      </c>
      <c r="M36" s="67"/>
      <c r="N36" s="65"/>
    </row>
    <row r="37" spans="2:14" ht="15.75" x14ac:dyDescent="0.25">
      <c r="B37" s="67">
        <v>5</v>
      </c>
      <c r="C37" s="31"/>
      <c r="D37" s="55" t="s">
        <v>1005</v>
      </c>
      <c r="E37" s="71" t="s">
        <v>1006</v>
      </c>
      <c r="F37" s="71" t="s">
        <v>122</v>
      </c>
      <c r="G37" s="68">
        <v>46146</v>
      </c>
      <c r="H37" s="68">
        <v>46159</v>
      </c>
      <c r="I37" s="69">
        <v>870900</v>
      </c>
      <c r="J37" s="82">
        <f t="shared" si="4"/>
        <v>870900</v>
      </c>
      <c r="K37" s="79"/>
      <c r="L37" s="16" t="s">
        <v>89</v>
      </c>
      <c r="M37" s="67"/>
      <c r="N37" s="65"/>
    </row>
    <row r="38" spans="2:14" ht="15.75" x14ac:dyDescent="0.25">
      <c r="B38" s="67">
        <v>6</v>
      </c>
      <c r="C38" s="31"/>
      <c r="D38" s="55" t="s">
        <v>1007</v>
      </c>
      <c r="E38" s="71" t="s">
        <v>1008</v>
      </c>
      <c r="F38" s="71" t="s">
        <v>122</v>
      </c>
      <c r="G38" s="68">
        <v>46146</v>
      </c>
      <c r="H38" s="68">
        <v>46159</v>
      </c>
      <c r="I38" s="69">
        <v>2151000</v>
      </c>
      <c r="J38" s="82">
        <f t="shared" si="4"/>
        <v>2151000</v>
      </c>
      <c r="K38" s="79"/>
      <c r="L38" s="16" t="s">
        <v>89</v>
      </c>
      <c r="M38" s="67"/>
      <c r="N38" s="65"/>
    </row>
    <row r="39" spans="2:14" ht="15.75" x14ac:dyDescent="0.25">
      <c r="B39" s="67">
        <v>7</v>
      </c>
      <c r="C39" s="31"/>
      <c r="D39" s="55" t="s">
        <v>1009</v>
      </c>
      <c r="E39" s="71" t="s">
        <v>1010</v>
      </c>
      <c r="F39" s="71" t="s">
        <v>1011</v>
      </c>
      <c r="G39" s="68">
        <v>46146</v>
      </c>
      <c r="H39" s="68">
        <v>46159</v>
      </c>
      <c r="I39" s="69">
        <v>758100</v>
      </c>
      <c r="J39" s="82">
        <f t="shared" si="4"/>
        <v>758100</v>
      </c>
      <c r="K39" s="79"/>
      <c r="L39" s="16" t="s">
        <v>89</v>
      </c>
      <c r="M39" s="67"/>
      <c r="N39" s="65"/>
    </row>
    <row r="40" spans="2:14" ht="15.75" x14ac:dyDescent="0.25">
      <c r="B40" s="67">
        <v>8</v>
      </c>
      <c r="C40" s="31"/>
      <c r="D40" s="55" t="s">
        <v>1012</v>
      </c>
      <c r="E40" s="71" t="s">
        <v>121</v>
      </c>
      <c r="F40" s="71" t="s">
        <v>189</v>
      </c>
      <c r="G40" s="68">
        <v>46146</v>
      </c>
      <c r="H40" s="68">
        <v>46159</v>
      </c>
      <c r="I40" s="69">
        <v>870900</v>
      </c>
      <c r="J40" s="82">
        <f t="shared" si="4"/>
        <v>870900</v>
      </c>
      <c r="K40" s="79"/>
      <c r="L40" s="16" t="s">
        <v>89</v>
      </c>
      <c r="M40" s="67"/>
      <c r="N40" s="65"/>
    </row>
    <row r="41" spans="2:14" ht="15.75" x14ac:dyDescent="0.25">
      <c r="B41" s="67">
        <v>9</v>
      </c>
      <c r="C41" s="31"/>
      <c r="D41" s="55" t="s">
        <v>1013</v>
      </c>
      <c r="E41" s="71" t="s">
        <v>1014</v>
      </c>
      <c r="F41" s="71" t="s">
        <v>1015</v>
      </c>
      <c r="G41" s="68">
        <v>46146</v>
      </c>
      <c r="H41" s="68">
        <v>46159</v>
      </c>
      <c r="I41" s="69">
        <v>758100</v>
      </c>
      <c r="J41" s="82">
        <v>600000</v>
      </c>
      <c r="K41" s="79"/>
      <c r="L41" s="16" t="s">
        <v>235</v>
      </c>
      <c r="M41" s="67"/>
      <c r="N41" s="65"/>
    </row>
    <row r="42" spans="2:14" ht="15.75" x14ac:dyDescent="0.25">
      <c r="B42" s="67">
        <v>10</v>
      </c>
      <c r="C42" s="31"/>
      <c r="D42" s="55" t="s">
        <v>1016</v>
      </c>
      <c r="E42" s="71" t="s">
        <v>176</v>
      </c>
      <c r="F42" s="71" t="s">
        <v>177</v>
      </c>
      <c r="G42" s="68">
        <v>46146</v>
      </c>
      <c r="H42" s="68">
        <v>46159</v>
      </c>
      <c r="I42" s="69">
        <v>543000</v>
      </c>
      <c r="J42" s="82">
        <v>200000</v>
      </c>
      <c r="K42" s="79"/>
      <c r="L42" s="16" t="s">
        <v>235</v>
      </c>
      <c r="M42" s="67"/>
      <c r="N42" s="65"/>
    </row>
    <row r="43" spans="2:14" ht="15.75" x14ac:dyDescent="0.25">
      <c r="B43" s="67">
        <v>11</v>
      </c>
      <c r="C43" s="31"/>
      <c r="D43" s="55" t="s">
        <v>1017</v>
      </c>
      <c r="E43" s="71" t="s">
        <v>1001</v>
      </c>
      <c r="F43" s="71" t="s">
        <v>1002</v>
      </c>
      <c r="G43" s="68">
        <v>46146</v>
      </c>
      <c r="H43" s="68">
        <v>46159</v>
      </c>
      <c r="I43" s="69">
        <v>976380</v>
      </c>
      <c r="J43" s="82"/>
      <c r="K43" s="70">
        <f>I43</f>
        <v>976380</v>
      </c>
      <c r="L43" s="16" t="s">
        <v>89</v>
      </c>
      <c r="M43" s="67"/>
      <c r="N43" s="65"/>
    </row>
    <row r="44" spans="2:14" ht="15.75" x14ac:dyDescent="0.25">
      <c r="B44" s="67">
        <v>12</v>
      </c>
      <c r="C44" s="31"/>
      <c r="D44" s="55" t="s">
        <v>1018</v>
      </c>
      <c r="E44" s="71" t="s">
        <v>1004</v>
      </c>
      <c r="F44" s="71" t="s">
        <v>122</v>
      </c>
      <c r="G44" s="68">
        <v>46146</v>
      </c>
      <c r="H44" s="68">
        <v>46159</v>
      </c>
      <c r="I44" s="69">
        <v>479780</v>
      </c>
      <c r="J44" s="82"/>
      <c r="K44" s="70">
        <f t="shared" ref="K44:K47" si="5">I44</f>
        <v>479780</v>
      </c>
      <c r="L44" s="16" t="s">
        <v>89</v>
      </c>
      <c r="M44" s="67"/>
      <c r="N44" s="65"/>
    </row>
    <row r="45" spans="2:14" ht="15.75" x14ac:dyDescent="0.25">
      <c r="B45" s="67">
        <v>13</v>
      </c>
      <c r="C45" s="31"/>
      <c r="D45" s="55" t="s">
        <v>1019</v>
      </c>
      <c r="E45" s="71" t="s">
        <v>1020</v>
      </c>
      <c r="F45" s="71" t="s">
        <v>122</v>
      </c>
      <c r="G45" s="68">
        <v>46146</v>
      </c>
      <c r="H45" s="68">
        <v>46159</v>
      </c>
      <c r="I45" s="69">
        <v>154251</v>
      </c>
      <c r="J45" s="82"/>
      <c r="K45" s="70">
        <f t="shared" si="5"/>
        <v>154251</v>
      </c>
      <c r="L45" s="16" t="s">
        <v>89</v>
      </c>
      <c r="M45" s="67"/>
      <c r="N45" s="65"/>
    </row>
    <row r="46" spans="2:14" ht="15.75" x14ac:dyDescent="0.25">
      <c r="B46" s="67">
        <v>14</v>
      </c>
      <c r="C46" s="31"/>
      <c r="D46" s="55" t="s">
        <v>1021</v>
      </c>
      <c r="E46" s="71" t="s">
        <v>1010</v>
      </c>
      <c r="F46" s="71" t="s">
        <v>1011</v>
      </c>
      <c r="G46" s="68">
        <v>46146</v>
      </c>
      <c r="H46" s="68">
        <v>46159</v>
      </c>
      <c r="I46" s="69">
        <v>388890</v>
      </c>
      <c r="J46" s="82"/>
      <c r="K46" s="70">
        <f t="shared" si="5"/>
        <v>388890</v>
      </c>
      <c r="L46" s="16" t="s">
        <v>89</v>
      </c>
      <c r="M46" s="67"/>
      <c r="N46" s="65"/>
    </row>
    <row r="47" spans="2:14" ht="15.75" x14ac:dyDescent="0.25">
      <c r="B47" s="67">
        <v>15</v>
      </c>
      <c r="C47" s="67"/>
      <c r="D47" s="55" t="s">
        <v>1022</v>
      </c>
      <c r="E47" s="71" t="s">
        <v>1006</v>
      </c>
      <c r="F47" s="71" t="s">
        <v>122</v>
      </c>
      <c r="G47" s="68">
        <v>46146</v>
      </c>
      <c r="H47" s="68">
        <v>46159</v>
      </c>
      <c r="I47" s="69">
        <v>78000</v>
      </c>
      <c r="J47" s="82"/>
      <c r="K47" s="70">
        <f t="shared" si="5"/>
        <v>78000</v>
      </c>
      <c r="L47" s="16" t="s">
        <v>89</v>
      </c>
      <c r="M47" s="67"/>
      <c r="N47" s="65"/>
    </row>
    <row r="48" spans="2:14" ht="15.75" x14ac:dyDescent="0.25">
      <c r="B48" s="157" t="s">
        <v>12</v>
      </c>
      <c r="C48" s="158"/>
      <c r="D48" s="158"/>
      <c r="E48" s="158"/>
      <c r="F48" s="158"/>
      <c r="G48" s="158"/>
      <c r="H48" s="158"/>
      <c r="I48" s="159"/>
      <c r="J48" s="60">
        <f>SUM(J33:J47)</f>
        <v>9036800</v>
      </c>
      <c r="K48" s="61">
        <f>SUM(K33:K47)</f>
        <v>2077301</v>
      </c>
      <c r="L48" s="62"/>
      <c r="M48" s="63">
        <f>SUM(K48+J48)</f>
        <v>11114101</v>
      </c>
      <c r="N48" s="64"/>
    </row>
    <row r="49" spans="2:14" x14ac:dyDescent="0.25">
      <c r="D49" s="42"/>
      <c r="I49" s="43"/>
      <c r="N49" s="44"/>
    </row>
    <row r="50" spans="2:14" x14ac:dyDescent="0.25">
      <c r="D50" s="42"/>
      <c r="I50" s="43"/>
      <c r="N50" s="44"/>
    </row>
    <row r="51" spans="2:14" ht="15.75" x14ac:dyDescent="0.25">
      <c r="D51" s="42"/>
      <c r="G51" s="150" t="s">
        <v>23</v>
      </c>
      <c r="H51" s="150"/>
      <c r="I51" s="150"/>
      <c r="J51" s="18">
        <f>SUM(J48+J31+J13)</f>
        <v>22446500</v>
      </c>
      <c r="K51" s="40">
        <f>SUM(K48+K31+K13)</f>
        <v>5872766</v>
      </c>
      <c r="L51" s="28"/>
      <c r="M51" s="28"/>
      <c r="N51" s="21">
        <f>SUM(J51+K51)</f>
        <v>28319266</v>
      </c>
    </row>
    <row r="52" spans="2:14" x14ac:dyDescent="0.25">
      <c r="D52" s="42"/>
      <c r="I52" s="43"/>
      <c r="N52" s="44"/>
    </row>
    <row r="53" spans="2:14" x14ac:dyDescent="0.25">
      <c r="B53" s="160" t="s">
        <v>24</v>
      </c>
      <c r="C53" s="160"/>
      <c r="D53" s="160"/>
      <c r="I53" s="43"/>
      <c r="N53" s="44"/>
    </row>
    <row r="54" spans="2:14" ht="15.75" x14ac:dyDescent="0.25">
      <c r="B54" s="154" t="s">
        <v>3</v>
      </c>
      <c r="C54" s="161" t="s">
        <v>25</v>
      </c>
      <c r="D54" s="154" t="s">
        <v>5</v>
      </c>
      <c r="E54" s="154" t="s">
        <v>6</v>
      </c>
      <c r="F54" s="154" t="s">
        <v>7</v>
      </c>
      <c r="G54" s="154" t="s">
        <v>8</v>
      </c>
      <c r="H54" s="154" t="s">
        <v>9</v>
      </c>
      <c r="I54" s="161" t="s">
        <v>26</v>
      </c>
      <c r="J54" s="143" t="s">
        <v>11</v>
      </c>
      <c r="K54" s="144"/>
      <c r="L54" s="170"/>
      <c r="M54" s="133" t="s">
        <v>12</v>
      </c>
      <c r="N54" s="154" t="s">
        <v>13</v>
      </c>
    </row>
    <row r="55" spans="2:14" ht="15.75" x14ac:dyDescent="0.25">
      <c r="B55" s="155"/>
      <c r="C55" s="162"/>
      <c r="D55" s="155"/>
      <c r="E55" s="155"/>
      <c r="F55" s="155"/>
      <c r="G55" s="155"/>
      <c r="H55" s="155"/>
      <c r="I55" s="162"/>
      <c r="J55" s="4" t="s">
        <v>14</v>
      </c>
      <c r="K55" s="5" t="s">
        <v>15</v>
      </c>
      <c r="L55" s="6" t="s">
        <v>16</v>
      </c>
      <c r="M55" s="134"/>
      <c r="N55" s="155"/>
    </row>
    <row r="56" spans="2:14" ht="15" customHeight="1" x14ac:dyDescent="0.25">
      <c r="B56" s="27">
        <v>1</v>
      </c>
      <c r="C56" s="31" t="s">
        <v>146</v>
      </c>
      <c r="D56" s="45" t="s">
        <v>1023</v>
      </c>
      <c r="E56" s="46" t="s">
        <v>1024</v>
      </c>
      <c r="F56" s="46" t="s">
        <v>135</v>
      </c>
      <c r="G56" s="47">
        <v>46158</v>
      </c>
      <c r="H56" s="47"/>
      <c r="I56" s="48">
        <v>113600</v>
      </c>
      <c r="J56" s="49">
        <f>I56</f>
        <v>113600</v>
      </c>
      <c r="K56" s="50"/>
      <c r="L56" s="16" t="s">
        <v>89</v>
      </c>
      <c r="M56" s="17"/>
      <c r="N56" s="17"/>
    </row>
    <row r="57" spans="2:14" ht="15" customHeight="1" x14ac:dyDescent="0.25">
      <c r="B57" s="27">
        <v>2</v>
      </c>
      <c r="C57" s="31" t="s">
        <v>146</v>
      </c>
      <c r="D57" s="51" t="s">
        <v>1025</v>
      </c>
      <c r="E57" s="51" t="s">
        <v>137</v>
      </c>
      <c r="F57" s="17" t="s">
        <v>138</v>
      </c>
      <c r="G57" s="47">
        <v>46158</v>
      </c>
      <c r="H57" s="52"/>
      <c r="I57" s="16">
        <v>207552</v>
      </c>
      <c r="J57" s="49"/>
      <c r="K57" s="15">
        <f>I57</f>
        <v>207552</v>
      </c>
      <c r="L57" s="16" t="s">
        <v>89</v>
      </c>
      <c r="M57" s="17"/>
      <c r="N57" s="17"/>
    </row>
    <row r="58" spans="2:14" ht="15" customHeight="1" x14ac:dyDescent="0.25">
      <c r="B58" s="27">
        <v>3</v>
      </c>
      <c r="C58" s="31" t="s">
        <v>146</v>
      </c>
      <c r="D58" s="51" t="s">
        <v>1026</v>
      </c>
      <c r="E58" s="51" t="s">
        <v>1024</v>
      </c>
      <c r="F58" s="17" t="s">
        <v>135</v>
      </c>
      <c r="G58" s="47">
        <v>46158</v>
      </c>
      <c r="H58" s="52"/>
      <c r="I58" s="16">
        <v>103776</v>
      </c>
      <c r="J58" s="49"/>
      <c r="K58" s="15">
        <f>I58</f>
        <v>103776</v>
      </c>
      <c r="L58" s="16" t="s">
        <v>89</v>
      </c>
      <c r="M58" s="17"/>
      <c r="N58" s="17"/>
    </row>
    <row r="59" spans="2:14" ht="15" customHeight="1" x14ac:dyDescent="0.25">
      <c r="B59" s="27">
        <v>4</v>
      </c>
      <c r="C59" s="31" t="s">
        <v>146</v>
      </c>
      <c r="D59" s="51" t="s">
        <v>1027</v>
      </c>
      <c r="E59" s="51" t="s">
        <v>1028</v>
      </c>
      <c r="F59" s="17" t="s">
        <v>144</v>
      </c>
      <c r="G59" s="47">
        <v>46158</v>
      </c>
      <c r="H59" s="52"/>
      <c r="I59" s="16">
        <v>543800</v>
      </c>
      <c r="J59" s="49">
        <f t="shared" ref="J59:J61" si="6">I59</f>
        <v>543800</v>
      </c>
      <c r="K59" s="50"/>
      <c r="L59" s="16" t="s">
        <v>89</v>
      </c>
      <c r="M59" s="17"/>
      <c r="N59" s="17"/>
    </row>
    <row r="60" spans="2:14" ht="15" customHeight="1" x14ac:dyDescent="0.25">
      <c r="B60" s="27">
        <v>5</v>
      </c>
      <c r="C60" s="31" t="s">
        <v>88</v>
      </c>
      <c r="D60" s="51" t="s">
        <v>1029</v>
      </c>
      <c r="E60" s="51" t="s">
        <v>1030</v>
      </c>
      <c r="F60" s="17" t="s">
        <v>99</v>
      </c>
      <c r="G60" s="47">
        <v>46158</v>
      </c>
      <c r="H60" s="52"/>
      <c r="I60" s="16">
        <v>1063000</v>
      </c>
      <c r="J60" s="49">
        <f t="shared" si="6"/>
        <v>1063000</v>
      </c>
      <c r="K60" s="50"/>
      <c r="L60" s="16" t="s">
        <v>89</v>
      </c>
      <c r="M60" s="17"/>
      <c r="N60" s="17"/>
    </row>
    <row r="61" spans="2:14" ht="15" customHeight="1" x14ac:dyDescent="0.25">
      <c r="B61" s="27">
        <v>6</v>
      </c>
      <c r="C61" s="31" t="s">
        <v>88</v>
      </c>
      <c r="D61" s="51" t="s">
        <v>1031</v>
      </c>
      <c r="E61" s="51" t="s">
        <v>1032</v>
      </c>
      <c r="F61" s="17" t="s">
        <v>1033</v>
      </c>
      <c r="G61" s="47">
        <v>46158</v>
      </c>
      <c r="H61" s="52"/>
      <c r="I61" s="16">
        <v>215100</v>
      </c>
      <c r="J61" s="49">
        <f t="shared" si="6"/>
        <v>215100</v>
      </c>
      <c r="K61" s="15"/>
      <c r="L61" s="16" t="s">
        <v>89</v>
      </c>
      <c r="M61" s="17"/>
      <c r="N61" s="17"/>
    </row>
    <row r="62" spans="2:14" ht="15" customHeight="1" x14ac:dyDescent="0.25">
      <c r="B62" s="27">
        <v>7</v>
      </c>
      <c r="C62" s="31" t="s">
        <v>146</v>
      </c>
      <c r="D62" s="51" t="s">
        <v>1042</v>
      </c>
      <c r="E62" s="51" t="s">
        <v>1043</v>
      </c>
      <c r="F62" s="17" t="s">
        <v>1044</v>
      </c>
      <c r="G62" s="47">
        <v>46158</v>
      </c>
      <c r="H62" s="52"/>
      <c r="I62" s="16">
        <v>69498</v>
      </c>
      <c r="J62" s="49"/>
      <c r="K62" s="15">
        <f>I62</f>
        <v>69498</v>
      </c>
      <c r="L62" s="16" t="s">
        <v>89</v>
      </c>
      <c r="M62" s="17"/>
      <c r="N62" s="17"/>
    </row>
    <row r="63" spans="2:14" ht="15.75" x14ac:dyDescent="0.25">
      <c r="B63" s="122" t="s">
        <v>27</v>
      </c>
      <c r="C63" s="123"/>
      <c r="D63" s="123"/>
      <c r="E63" s="123"/>
      <c r="F63" s="123"/>
      <c r="G63" s="123"/>
      <c r="H63" s="123"/>
      <c r="I63" s="124"/>
      <c r="J63" s="39">
        <f>SUM(J56:J62)</f>
        <v>1935500</v>
      </c>
      <c r="K63" s="40">
        <f>SUM(K56:K62)</f>
        <v>380826</v>
      </c>
      <c r="L63" s="28"/>
      <c r="M63" s="41">
        <f>SUM(J63+K63)</f>
        <v>2316326</v>
      </c>
      <c r="N63" s="53"/>
    </row>
    <row r="64" spans="2:14" ht="15.75" x14ac:dyDescent="0.25">
      <c r="B64" s="139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63"/>
    </row>
    <row r="65" spans="2:14" x14ac:dyDescent="0.25">
      <c r="B65" s="55">
        <v>1</v>
      </c>
      <c r="C65" s="8" t="s">
        <v>87</v>
      </c>
      <c r="D65" s="51" t="s">
        <v>1034</v>
      </c>
      <c r="E65" s="51" t="s">
        <v>1035</v>
      </c>
      <c r="F65" s="17" t="s">
        <v>1036</v>
      </c>
      <c r="G65" s="47">
        <v>46158</v>
      </c>
      <c r="H65" s="52"/>
      <c r="I65" s="16">
        <v>758500</v>
      </c>
      <c r="J65" s="49">
        <f>I65</f>
        <v>758500</v>
      </c>
      <c r="K65" s="50"/>
      <c r="L65" s="16" t="s">
        <v>89</v>
      </c>
      <c r="M65" s="17"/>
      <c r="N65" s="17"/>
    </row>
    <row r="66" spans="2:14" x14ac:dyDescent="0.25">
      <c r="B66" s="55">
        <v>2</v>
      </c>
      <c r="C66" s="8" t="s">
        <v>87</v>
      </c>
      <c r="D66" s="51" t="s">
        <v>1037</v>
      </c>
      <c r="E66" s="51" t="s">
        <v>60</v>
      </c>
      <c r="F66" s="17" t="s">
        <v>61</v>
      </c>
      <c r="G66" s="47">
        <v>46158</v>
      </c>
      <c r="H66" s="52"/>
      <c r="I66" s="16">
        <v>1608900</v>
      </c>
      <c r="J66" s="49">
        <f t="shared" ref="J66:J68" si="7">I66</f>
        <v>1608900</v>
      </c>
      <c r="K66" s="15"/>
      <c r="L66" s="16" t="s">
        <v>89</v>
      </c>
      <c r="M66" s="17"/>
      <c r="N66" s="17"/>
    </row>
    <row r="67" spans="2:14" x14ac:dyDescent="0.25">
      <c r="B67" s="55">
        <v>3</v>
      </c>
      <c r="C67" s="8" t="s">
        <v>87</v>
      </c>
      <c r="D67" s="51" t="s">
        <v>1038</v>
      </c>
      <c r="E67" s="51" t="s">
        <v>1039</v>
      </c>
      <c r="F67" s="17" t="s">
        <v>1040</v>
      </c>
      <c r="G67" s="47">
        <v>46158</v>
      </c>
      <c r="H67" s="52"/>
      <c r="I67" s="16">
        <v>328700</v>
      </c>
      <c r="J67" s="49">
        <f t="shared" si="7"/>
        <v>328700</v>
      </c>
      <c r="K67" s="50"/>
      <c r="L67" s="16" t="s">
        <v>89</v>
      </c>
      <c r="M67" s="17"/>
      <c r="N67" s="17"/>
    </row>
    <row r="68" spans="2:14" x14ac:dyDescent="0.25">
      <c r="B68" s="55">
        <v>4</v>
      </c>
      <c r="C68" s="8" t="s">
        <v>87</v>
      </c>
      <c r="D68" s="51" t="s">
        <v>1041</v>
      </c>
      <c r="E68" s="51" t="s">
        <v>129</v>
      </c>
      <c r="F68" s="17" t="s">
        <v>127</v>
      </c>
      <c r="G68" s="47">
        <v>46158</v>
      </c>
      <c r="H68" s="52"/>
      <c r="I68" s="16">
        <v>860000</v>
      </c>
      <c r="J68" s="49">
        <f t="shared" si="7"/>
        <v>860000</v>
      </c>
      <c r="K68" s="50"/>
      <c r="L68" s="16" t="s">
        <v>239</v>
      </c>
      <c r="M68" s="17"/>
      <c r="N68" s="17"/>
    </row>
    <row r="69" spans="2:14" ht="15.75" x14ac:dyDescent="0.25">
      <c r="B69" s="122" t="s">
        <v>27</v>
      </c>
      <c r="C69" s="123"/>
      <c r="D69" s="123"/>
      <c r="E69" s="123"/>
      <c r="F69" s="123"/>
      <c r="G69" s="123"/>
      <c r="H69" s="123"/>
      <c r="I69" s="124"/>
      <c r="J69" s="39">
        <f>SUM(J65:J68)-860000</f>
        <v>2696100</v>
      </c>
      <c r="K69" s="40">
        <f>SUM(K65:K68)</f>
        <v>0</v>
      </c>
      <c r="L69" s="28"/>
      <c r="M69" s="41">
        <f>SUM(J69+K69)</f>
        <v>2696100</v>
      </c>
      <c r="N69" s="53"/>
    </row>
    <row r="70" spans="2:14" x14ac:dyDescent="0.25">
      <c r="D70" s="42"/>
      <c r="I70" s="43"/>
    </row>
    <row r="71" spans="2:14" ht="15.75" x14ac:dyDescent="0.25">
      <c r="D71" s="42"/>
      <c r="H71" s="122" t="s">
        <v>28</v>
      </c>
      <c r="I71" s="124"/>
      <c r="J71" s="39">
        <f>SUM(J69+J63)</f>
        <v>4631600</v>
      </c>
      <c r="K71" s="40">
        <f>SUM(K69+K63)</f>
        <v>380826</v>
      </c>
      <c r="L71" s="28"/>
      <c r="M71" s="54"/>
      <c r="N71" s="21">
        <f>SUM(M69+M63)</f>
        <v>5012426</v>
      </c>
    </row>
    <row r="72" spans="2:14" x14ac:dyDescent="0.25">
      <c r="D72" s="42"/>
      <c r="I72" s="43"/>
    </row>
    <row r="73" spans="2:14" x14ac:dyDescent="0.25">
      <c r="D73" s="42"/>
      <c r="H73" s="125" t="s">
        <v>29</v>
      </c>
      <c r="I73" s="126"/>
      <c r="J73" s="56" t="s">
        <v>14</v>
      </c>
      <c r="K73" s="57" t="s">
        <v>15</v>
      </c>
      <c r="L73" s="17"/>
      <c r="M73" s="17"/>
      <c r="N73" s="17"/>
    </row>
    <row r="74" spans="2:14" ht="15.75" x14ac:dyDescent="0.25">
      <c r="D74" s="42"/>
      <c r="H74" s="129"/>
      <c r="I74" s="130"/>
      <c r="J74" s="39">
        <f>SUM(J71+J51)</f>
        <v>27078100</v>
      </c>
      <c r="K74" s="40">
        <f>SUM(K71+K51)</f>
        <v>6253592</v>
      </c>
      <c r="L74" s="28"/>
      <c r="M74" s="28"/>
      <c r="N74" s="58">
        <f>SUM(K74+J74)</f>
        <v>33331692</v>
      </c>
    </row>
    <row r="75" spans="2:14" x14ac:dyDescent="0.25">
      <c r="D75" s="42"/>
      <c r="I75" s="43"/>
      <c r="N75" s="59"/>
    </row>
    <row r="76" spans="2:14" x14ac:dyDescent="0.25">
      <c r="D76" s="2" t="s">
        <v>30</v>
      </c>
      <c r="E76" s="1"/>
      <c r="F76" s="1"/>
      <c r="G76" s="1"/>
      <c r="H76" s="1"/>
      <c r="I76" s="1"/>
      <c r="J76" s="1"/>
    </row>
    <row r="77" spans="2:14" x14ac:dyDescent="0.25">
      <c r="D77" s="2"/>
      <c r="E77" s="1"/>
      <c r="F77" s="1"/>
      <c r="G77" s="1"/>
      <c r="H77" s="1"/>
      <c r="I77" s="1"/>
      <c r="J77" s="1"/>
    </row>
    <row r="78" spans="2:14" x14ac:dyDescent="0.25">
      <c r="D78" s="3" t="s">
        <v>31</v>
      </c>
      <c r="E78" s="3"/>
      <c r="F78" s="3" t="s">
        <v>32</v>
      </c>
      <c r="G78" s="3"/>
      <c r="H78" s="3" t="s">
        <v>33</v>
      </c>
      <c r="I78" s="3"/>
      <c r="J78" s="3" t="s">
        <v>34</v>
      </c>
    </row>
    <row r="79" spans="2:14" x14ac:dyDescent="0.25">
      <c r="D79" s="3"/>
      <c r="E79" s="3"/>
      <c r="F79" s="3"/>
      <c r="G79" s="3"/>
      <c r="H79" s="3"/>
      <c r="I79" s="3"/>
      <c r="J79" s="3"/>
    </row>
    <row r="80" spans="2:14" x14ac:dyDescent="0.25">
      <c r="D80" s="3"/>
      <c r="E80" s="3"/>
      <c r="F80" s="3"/>
      <c r="G80" s="3"/>
      <c r="H80" s="3"/>
      <c r="I80" s="3"/>
      <c r="J80" s="3"/>
    </row>
    <row r="81" spans="4:10" x14ac:dyDescent="0.25">
      <c r="D81" s="3"/>
      <c r="E81" s="3"/>
      <c r="F81" s="3"/>
      <c r="G81" s="3"/>
      <c r="H81" s="3"/>
      <c r="I81" s="3"/>
      <c r="J81" s="3"/>
    </row>
    <row r="82" spans="4:10" x14ac:dyDescent="0.25">
      <c r="D82" s="3" t="s">
        <v>35</v>
      </c>
      <c r="E82" s="3"/>
      <c r="F82" s="3" t="s">
        <v>36</v>
      </c>
      <c r="G82" s="3"/>
      <c r="H82" s="3" t="s">
        <v>36</v>
      </c>
      <c r="I82" s="3"/>
      <c r="J82" s="3" t="s">
        <v>37</v>
      </c>
    </row>
    <row r="83" spans="4:10" x14ac:dyDescent="0.25">
      <c r="D83" s="42"/>
    </row>
    <row r="84" spans="4:10" x14ac:dyDescent="0.25">
      <c r="D84" s="42"/>
    </row>
    <row r="85" spans="4:10" x14ac:dyDescent="0.25">
      <c r="D85" s="42"/>
    </row>
    <row r="86" spans="4:10" x14ac:dyDescent="0.25">
      <c r="D86" s="42"/>
    </row>
    <row r="87" spans="4:10" x14ac:dyDescent="0.25">
      <c r="D87" s="42"/>
    </row>
  </sheetData>
  <mergeCells count="37">
    <mergeCell ref="B63:I63"/>
    <mergeCell ref="B64:N64"/>
    <mergeCell ref="B69:I69"/>
    <mergeCell ref="H71:I71"/>
    <mergeCell ref="H73:I74"/>
    <mergeCell ref="N54:N55"/>
    <mergeCell ref="B31:I31"/>
    <mergeCell ref="B32:N32"/>
    <mergeCell ref="B48:I48"/>
    <mergeCell ref="G51:I51"/>
    <mergeCell ref="B53:D53"/>
    <mergeCell ref="B54:B55"/>
    <mergeCell ref="C54:C55"/>
    <mergeCell ref="D54:D55"/>
    <mergeCell ref="E54:E55"/>
    <mergeCell ref="F54:F55"/>
    <mergeCell ref="G54:G55"/>
    <mergeCell ref="H54:H55"/>
    <mergeCell ref="I54:I55"/>
    <mergeCell ref="J54:L54"/>
    <mergeCell ref="M54:M55"/>
    <mergeCell ref="B14:N14"/>
    <mergeCell ref="B3:D3"/>
    <mergeCell ref="K4:N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M6:M7"/>
    <mergeCell ref="N6:N7"/>
    <mergeCell ref="B13:I13"/>
  </mergeCells>
  <pageMargins left="0" right="0" top="0" bottom="0" header="0" footer="0"/>
  <pageSetup paperSize="9" scale="75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B1D6-73B5-438F-80A0-6F152078219A}">
  <dimension ref="A2:Q108"/>
  <sheetViews>
    <sheetView topLeftCell="A61" workbookViewId="0">
      <selection activeCell="M62" sqref="M62"/>
    </sheetView>
  </sheetViews>
  <sheetFormatPr defaultRowHeight="15" x14ac:dyDescent="0.25"/>
  <cols>
    <col min="1" max="1" width="2.140625" customWidth="1"/>
    <col min="2" max="2" width="4.28515625" customWidth="1"/>
    <col min="3" max="3" width="12.5703125" customWidth="1"/>
    <col min="4" max="4" width="16.42578125" customWidth="1"/>
    <col min="5" max="5" width="19.28515625" customWidth="1"/>
    <col min="6" max="6" width="17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152" t="s">
        <v>1</v>
      </c>
      <c r="C3" s="152"/>
      <c r="D3" s="152"/>
    </row>
    <row r="4" spans="2:17" x14ac:dyDescent="0.25">
      <c r="K4" s="1"/>
      <c r="L4" s="149" t="s">
        <v>1045</v>
      </c>
      <c r="M4" s="149"/>
      <c r="N4" s="149"/>
      <c r="O4" s="149"/>
    </row>
    <row r="5" spans="2:17" x14ac:dyDescent="0.25">
      <c r="B5" s="153" t="s">
        <v>2</v>
      </c>
      <c r="C5" s="153"/>
      <c r="D5" s="153"/>
      <c r="Q5" t="s">
        <v>90</v>
      </c>
    </row>
    <row r="6" spans="2:17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25" t="s">
        <v>9</v>
      </c>
      <c r="I6" s="156" t="s">
        <v>10</v>
      </c>
      <c r="J6" s="122" t="s">
        <v>11</v>
      </c>
      <c r="K6" s="123"/>
      <c r="L6" s="123"/>
      <c r="M6" s="123"/>
      <c r="N6" s="124"/>
      <c r="O6" s="133" t="s">
        <v>12</v>
      </c>
    </row>
    <row r="7" spans="2:17" ht="15.75" x14ac:dyDescent="0.25">
      <c r="B7" s="155"/>
      <c r="C7" s="155"/>
      <c r="D7" s="155"/>
      <c r="E7" s="155"/>
      <c r="F7" s="155"/>
      <c r="G7" s="155"/>
      <c r="H7" s="129"/>
      <c r="I7" s="156"/>
      <c r="J7" s="151" t="s">
        <v>14</v>
      </c>
      <c r="K7" s="151"/>
      <c r="L7" s="137" t="s">
        <v>15</v>
      </c>
      <c r="M7" s="138"/>
      <c r="N7" s="6" t="s">
        <v>16</v>
      </c>
      <c r="O7" s="134"/>
    </row>
    <row r="8" spans="2:17" ht="15.75" x14ac:dyDescent="0.25">
      <c r="B8" s="83"/>
      <c r="C8" s="83"/>
      <c r="D8" s="88"/>
      <c r="E8" s="88"/>
      <c r="F8" s="88"/>
      <c r="G8" s="88"/>
      <c r="H8" s="88"/>
      <c r="I8" s="92"/>
      <c r="J8" s="4" t="s">
        <v>24</v>
      </c>
      <c r="K8" s="4" t="s">
        <v>1139</v>
      </c>
      <c r="L8" s="5" t="s">
        <v>24</v>
      </c>
      <c r="M8" s="5" t="s">
        <v>1139</v>
      </c>
      <c r="N8" s="6"/>
      <c r="O8" s="85"/>
    </row>
    <row r="9" spans="2:17" x14ac:dyDescent="0.25">
      <c r="B9" s="7">
        <v>1</v>
      </c>
      <c r="C9" s="8" t="s">
        <v>17</v>
      </c>
      <c r="D9" s="9" t="s">
        <v>1046</v>
      </c>
      <c r="E9" s="10" t="s">
        <v>1047</v>
      </c>
      <c r="F9" s="11" t="s">
        <v>1048</v>
      </c>
      <c r="G9" s="12">
        <v>46147</v>
      </c>
      <c r="H9" s="12">
        <v>46160</v>
      </c>
      <c r="I9" s="93">
        <v>327900</v>
      </c>
      <c r="J9" s="95">
        <f>I9</f>
        <v>327900</v>
      </c>
      <c r="K9" s="14"/>
      <c r="L9" s="90"/>
      <c r="M9" s="90"/>
      <c r="N9" s="91" t="s">
        <v>89</v>
      </c>
      <c r="O9" s="16"/>
    </row>
    <row r="10" spans="2:17" x14ac:dyDescent="0.25">
      <c r="B10" s="7">
        <v>2</v>
      </c>
      <c r="C10" s="8"/>
      <c r="D10" s="9" t="s">
        <v>1049</v>
      </c>
      <c r="E10" s="10" t="s">
        <v>152</v>
      </c>
      <c r="F10" s="11" t="s">
        <v>153</v>
      </c>
      <c r="G10" s="12">
        <v>46147</v>
      </c>
      <c r="H10" s="12">
        <v>46160</v>
      </c>
      <c r="I10" s="94">
        <v>215100</v>
      </c>
      <c r="J10" s="95">
        <f t="shared" ref="J10:J15" si="0">I10</f>
        <v>215100</v>
      </c>
      <c r="K10" s="14"/>
      <c r="L10" s="15"/>
      <c r="M10" s="15"/>
      <c r="N10" s="16" t="s">
        <v>89</v>
      </c>
      <c r="O10" s="16"/>
    </row>
    <row r="11" spans="2:17" x14ac:dyDescent="0.25">
      <c r="B11" s="7">
        <v>3</v>
      </c>
      <c r="C11" s="8"/>
      <c r="D11" s="9" t="s">
        <v>1050</v>
      </c>
      <c r="E11" s="10" t="s">
        <v>1051</v>
      </c>
      <c r="F11" s="11" t="s">
        <v>1052</v>
      </c>
      <c r="G11" s="12">
        <v>46147</v>
      </c>
      <c r="H11" s="12">
        <v>46160</v>
      </c>
      <c r="I11" s="94">
        <v>327900</v>
      </c>
      <c r="J11" s="95">
        <f t="shared" si="0"/>
        <v>327900</v>
      </c>
      <c r="K11" s="14"/>
      <c r="L11" s="15"/>
      <c r="M11" s="15"/>
      <c r="N11" s="16" t="s">
        <v>89</v>
      </c>
      <c r="O11" s="16"/>
    </row>
    <row r="12" spans="2:17" x14ac:dyDescent="0.25">
      <c r="B12" s="7">
        <v>5</v>
      </c>
      <c r="C12" s="8"/>
      <c r="D12" s="9" t="s">
        <v>1054</v>
      </c>
      <c r="E12" s="10" t="s">
        <v>1055</v>
      </c>
      <c r="F12" s="11" t="s">
        <v>1053</v>
      </c>
      <c r="G12" s="12">
        <v>46147</v>
      </c>
      <c r="H12" s="12">
        <v>46160</v>
      </c>
      <c r="I12" s="94">
        <v>430200</v>
      </c>
      <c r="J12" s="95">
        <f t="shared" si="0"/>
        <v>430200</v>
      </c>
      <c r="K12" s="14"/>
      <c r="L12" s="15"/>
      <c r="M12" s="15"/>
      <c r="N12" s="16" t="s">
        <v>89</v>
      </c>
      <c r="O12" s="16"/>
    </row>
    <row r="13" spans="2:17" x14ac:dyDescent="0.25">
      <c r="B13" s="7">
        <v>6</v>
      </c>
      <c r="C13" s="8"/>
      <c r="D13" s="9" t="s">
        <v>1056</v>
      </c>
      <c r="E13" s="10" t="s">
        <v>1057</v>
      </c>
      <c r="F13" s="11" t="s">
        <v>1058</v>
      </c>
      <c r="G13" s="12">
        <v>46147</v>
      </c>
      <c r="H13" s="12">
        <v>46160</v>
      </c>
      <c r="I13" s="94">
        <v>430200</v>
      </c>
      <c r="J13" s="95">
        <f t="shared" si="0"/>
        <v>430200</v>
      </c>
      <c r="K13" s="14"/>
      <c r="L13" s="15"/>
      <c r="M13" s="15"/>
      <c r="N13" s="16" t="s">
        <v>89</v>
      </c>
      <c r="O13" s="16"/>
    </row>
    <row r="14" spans="2:17" x14ac:dyDescent="0.25">
      <c r="B14" s="7">
        <v>7</v>
      </c>
      <c r="C14" s="8"/>
      <c r="D14" s="9" t="s">
        <v>1059</v>
      </c>
      <c r="E14" s="10" t="s">
        <v>1060</v>
      </c>
      <c r="F14" s="11" t="s">
        <v>1048</v>
      </c>
      <c r="G14" s="12">
        <v>46147</v>
      </c>
      <c r="H14" s="12">
        <v>46160</v>
      </c>
      <c r="I14" s="94">
        <v>215100</v>
      </c>
      <c r="J14" s="95">
        <f t="shared" si="0"/>
        <v>215100</v>
      </c>
      <c r="K14" s="14"/>
      <c r="L14" s="15"/>
      <c r="M14" s="15"/>
      <c r="N14" s="16" t="s">
        <v>89</v>
      </c>
      <c r="O14" s="16"/>
    </row>
    <row r="15" spans="2:17" x14ac:dyDescent="0.25">
      <c r="B15" s="7">
        <v>8</v>
      </c>
      <c r="C15" s="8"/>
      <c r="D15" s="9" t="s">
        <v>1061</v>
      </c>
      <c r="E15" s="10" t="s">
        <v>1062</v>
      </c>
      <c r="F15" s="11" t="s">
        <v>1063</v>
      </c>
      <c r="G15" s="12">
        <v>46147</v>
      </c>
      <c r="H15" s="12">
        <v>46160</v>
      </c>
      <c r="I15" s="94">
        <v>645300</v>
      </c>
      <c r="J15" s="95">
        <f t="shared" si="0"/>
        <v>645300</v>
      </c>
      <c r="K15" s="14"/>
      <c r="L15" s="15"/>
      <c r="M15" s="15"/>
      <c r="N15" s="16" t="s">
        <v>89</v>
      </c>
      <c r="O15" s="16"/>
    </row>
    <row r="16" spans="2:17" x14ac:dyDescent="0.25">
      <c r="B16" s="7">
        <v>11</v>
      </c>
      <c r="C16" s="8"/>
      <c r="D16" s="9" t="s">
        <v>1064</v>
      </c>
      <c r="E16" s="10" t="s">
        <v>1047</v>
      </c>
      <c r="F16" s="11" t="s">
        <v>1048</v>
      </c>
      <c r="G16" s="12">
        <v>46147</v>
      </c>
      <c r="H16" s="12">
        <v>46160</v>
      </c>
      <c r="I16" s="94">
        <v>249390</v>
      </c>
      <c r="J16" s="95"/>
      <c r="K16" s="14"/>
      <c r="L16" s="15">
        <v>209390</v>
      </c>
      <c r="M16" s="15"/>
      <c r="N16" s="16" t="s">
        <v>1140</v>
      </c>
      <c r="O16" s="16"/>
    </row>
    <row r="17" spans="2:15" x14ac:dyDescent="0.25">
      <c r="B17" s="7">
        <v>12</v>
      </c>
      <c r="C17" s="8"/>
      <c r="D17" s="9" t="s">
        <v>1065</v>
      </c>
      <c r="E17" s="10" t="s">
        <v>1051</v>
      </c>
      <c r="F17" s="11" t="s">
        <v>1052</v>
      </c>
      <c r="G17" s="12">
        <v>46147</v>
      </c>
      <c r="H17" s="12">
        <v>46160</v>
      </c>
      <c r="I17" s="94">
        <v>68556</v>
      </c>
      <c r="J17" s="95"/>
      <c r="K17" s="14"/>
      <c r="L17" s="15">
        <f t="shared" ref="L17:L23" si="1">I17</f>
        <v>68556</v>
      </c>
      <c r="M17" s="15"/>
      <c r="N17" s="16" t="s">
        <v>89</v>
      </c>
      <c r="O17" s="16"/>
    </row>
    <row r="18" spans="2:15" x14ac:dyDescent="0.25">
      <c r="B18" s="7">
        <v>14</v>
      </c>
      <c r="C18" s="8"/>
      <c r="D18" s="9" t="s">
        <v>1066</v>
      </c>
      <c r="E18" s="10" t="s">
        <v>1057</v>
      </c>
      <c r="F18" s="11" t="s">
        <v>1058</v>
      </c>
      <c r="G18" s="12">
        <v>46147</v>
      </c>
      <c r="H18" s="12">
        <v>46160</v>
      </c>
      <c r="I18" s="94">
        <v>34278</v>
      </c>
      <c r="J18" s="95"/>
      <c r="K18" s="14"/>
      <c r="L18" s="15">
        <f t="shared" si="1"/>
        <v>34278</v>
      </c>
      <c r="M18" s="15"/>
      <c r="N18" s="16" t="s">
        <v>89</v>
      </c>
      <c r="O18" s="16"/>
    </row>
    <row r="19" spans="2:15" x14ac:dyDescent="0.25">
      <c r="B19" s="7">
        <v>15</v>
      </c>
      <c r="C19" s="8"/>
      <c r="D19" s="9" t="s">
        <v>1067</v>
      </c>
      <c r="E19" s="10" t="s">
        <v>1060</v>
      </c>
      <c r="F19" s="11" t="s">
        <v>1048</v>
      </c>
      <c r="G19" s="12">
        <v>46147</v>
      </c>
      <c r="H19" s="12">
        <v>46160</v>
      </c>
      <c r="I19" s="94">
        <v>155556</v>
      </c>
      <c r="J19" s="95"/>
      <c r="K19" s="14"/>
      <c r="L19" s="15">
        <f t="shared" si="1"/>
        <v>155556</v>
      </c>
      <c r="M19" s="15"/>
      <c r="N19" s="16" t="s">
        <v>89</v>
      </c>
      <c r="O19" s="16"/>
    </row>
    <row r="20" spans="2:15" x14ac:dyDescent="0.25">
      <c r="B20" s="7">
        <v>16</v>
      </c>
      <c r="C20" s="8"/>
      <c r="D20" s="9" t="s">
        <v>1068</v>
      </c>
      <c r="E20" s="10" t="s">
        <v>1069</v>
      </c>
      <c r="F20" s="11" t="s">
        <v>1048</v>
      </c>
      <c r="G20" s="12">
        <v>46147</v>
      </c>
      <c r="H20" s="12">
        <v>46160</v>
      </c>
      <c r="I20" s="94">
        <v>87000</v>
      </c>
      <c r="J20" s="95"/>
      <c r="K20" s="14"/>
      <c r="L20" s="15">
        <f t="shared" si="1"/>
        <v>87000</v>
      </c>
      <c r="M20" s="15"/>
      <c r="N20" s="16" t="s">
        <v>89</v>
      </c>
      <c r="O20" s="16"/>
    </row>
    <row r="21" spans="2:15" x14ac:dyDescent="0.25">
      <c r="B21" s="7">
        <v>17</v>
      </c>
      <c r="C21" s="8"/>
      <c r="D21" s="9" t="s">
        <v>1070</v>
      </c>
      <c r="E21" s="10" t="s">
        <v>152</v>
      </c>
      <c r="F21" s="11" t="s">
        <v>153</v>
      </c>
      <c r="G21" s="12">
        <v>46147</v>
      </c>
      <c r="H21" s="12">
        <v>46160</v>
      </c>
      <c r="I21" s="94">
        <v>217500</v>
      </c>
      <c r="J21" s="95"/>
      <c r="K21" s="14"/>
      <c r="L21" s="15">
        <f t="shared" si="1"/>
        <v>217500</v>
      </c>
      <c r="M21" s="15"/>
      <c r="N21" s="16" t="s">
        <v>89</v>
      </c>
      <c r="O21" s="16"/>
    </row>
    <row r="22" spans="2:15" x14ac:dyDescent="0.25">
      <c r="B22" s="7">
        <v>18</v>
      </c>
      <c r="C22" s="8"/>
      <c r="D22" s="9" t="s">
        <v>1071</v>
      </c>
      <c r="E22" s="10" t="s">
        <v>1055</v>
      </c>
      <c r="F22" s="11" t="s">
        <v>1053</v>
      </c>
      <c r="G22" s="12">
        <v>46147</v>
      </c>
      <c r="H22" s="12">
        <v>46160</v>
      </c>
      <c r="I22" s="94">
        <v>191600</v>
      </c>
      <c r="J22" s="95"/>
      <c r="K22" s="14"/>
      <c r="L22" s="15">
        <f t="shared" si="1"/>
        <v>191600</v>
      </c>
      <c r="M22" s="15"/>
      <c r="N22" s="16" t="s">
        <v>89</v>
      </c>
      <c r="O22" s="16"/>
    </row>
    <row r="23" spans="2:15" x14ac:dyDescent="0.25">
      <c r="B23" s="7">
        <v>19</v>
      </c>
      <c r="C23" s="8"/>
      <c r="D23" s="9" t="s">
        <v>1072</v>
      </c>
      <c r="E23" s="10" t="s">
        <v>965</v>
      </c>
      <c r="F23" s="11" t="s">
        <v>294</v>
      </c>
      <c r="G23" s="12">
        <v>46146</v>
      </c>
      <c r="H23" s="12">
        <v>46158</v>
      </c>
      <c r="I23" s="94">
        <v>420780</v>
      </c>
      <c r="J23" s="95"/>
      <c r="K23" s="14"/>
      <c r="L23" s="15">
        <f t="shared" si="1"/>
        <v>420780</v>
      </c>
      <c r="M23" s="15"/>
      <c r="N23" s="16" t="s">
        <v>89</v>
      </c>
      <c r="O23" s="16"/>
    </row>
    <row r="24" spans="2:15" ht="15.75" x14ac:dyDescent="0.25">
      <c r="B24" s="122" t="s">
        <v>12</v>
      </c>
      <c r="C24" s="123"/>
      <c r="D24" s="123"/>
      <c r="E24" s="123"/>
      <c r="F24" s="123"/>
      <c r="G24" s="123"/>
      <c r="H24" s="123"/>
      <c r="I24" s="124"/>
      <c r="J24" s="106">
        <f>SUM(J9:J23)</f>
        <v>2591700</v>
      </c>
      <c r="K24" s="18">
        <f>SUM(K9:K23)</f>
        <v>0</v>
      </c>
      <c r="L24" s="19">
        <f>SUM(L9:L23)</f>
        <v>1384660</v>
      </c>
      <c r="M24" s="89">
        <f>SUM(M9:M23)</f>
        <v>0</v>
      </c>
      <c r="N24" s="20"/>
      <c r="O24" s="21">
        <f>SUM(J24+K24+L24+M24)</f>
        <v>3976360</v>
      </c>
    </row>
    <row r="25" spans="2:15" ht="15.75" x14ac:dyDescent="0.25">
      <c r="B25" s="141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</row>
    <row r="26" spans="2:15" x14ac:dyDescent="0.25">
      <c r="B26" s="7">
        <v>1</v>
      </c>
      <c r="C26" s="22" t="s">
        <v>21</v>
      </c>
      <c r="D26" s="9" t="s">
        <v>1073</v>
      </c>
      <c r="E26" s="23" t="s">
        <v>162</v>
      </c>
      <c r="F26" s="24" t="s">
        <v>1074</v>
      </c>
      <c r="G26" s="25">
        <v>46146</v>
      </c>
      <c r="H26" s="96">
        <v>46158</v>
      </c>
      <c r="I26" s="97">
        <v>215100</v>
      </c>
      <c r="J26" s="98">
        <f>I26</f>
        <v>215100</v>
      </c>
      <c r="K26" s="14"/>
      <c r="L26" s="15"/>
      <c r="M26" s="15"/>
      <c r="N26" s="16" t="s">
        <v>89</v>
      </c>
      <c r="O26" s="16"/>
    </row>
    <row r="27" spans="2:15" x14ac:dyDescent="0.25">
      <c r="B27" s="7">
        <v>2</v>
      </c>
      <c r="C27" s="22"/>
      <c r="D27" s="9" t="s">
        <v>1075</v>
      </c>
      <c r="E27" s="23" t="s">
        <v>984</v>
      </c>
      <c r="F27" s="24" t="s">
        <v>165</v>
      </c>
      <c r="G27" s="25">
        <v>46146</v>
      </c>
      <c r="H27" s="96">
        <v>46158</v>
      </c>
      <c r="I27" s="97">
        <v>1075500</v>
      </c>
      <c r="J27" s="98">
        <f t="shared" ref="J27:J31" si="2">I27</f>
        <v>1075500</v>
      </c>
      <c r="K27" s="14"/>
      <c r="L27" s="15"/>
      <c r="M27" s="15"/>
      <c r="N27" s="16" t="s">
        <v>89</v>
      </c>
      <c r="O27" s="16"/>
    </row>
    <row r="28" spans="2:15" x14ac:dyDescent="0.25">
      <c r="B28" s="7">
        <v>3</v>
      </c>
      <c r="C28" s="22"/>
      <c r="D28" s="9" t="s">
        <v>1077</v>
      </c>
      <c r="E28" s="23" t="s">
        <v>1078</v>
      </c>
      <c r="F28" s="24" t="s">
        <v>1079</v>
      </c>
      <c r="G28" s="25">
        <v>46147</v>
      </c>
      <c r="H28" s="96">
        <v>46160</v>
      </c>
      <c r="I28" s="97">
        <v>215100</v>
      </c>
      <c r="J28" s="98">
        <f t="shared" si="2"/>
        <v>215100</v>
      </c>
      <c r="K28" s="14"/>
      <c r="L28" s="15"/>
      <c r="M28" s="15"/>
      <c r="N28" s="16" t="s">
        <v>89</v>
      </c>
      <c r="O28" s="16"/>
    </row>
    <row r="29" spans="2:15" x14ac:dyDescent="0.25">
      <c r="B29" s="7">
        <v>4</v>
      </c>
      <c r="C29" s="22"/>
      <c r="D29" s="9" t="s">
        <v>1080</v>
      </c>
      <c r="E29" s="23" t="s">
        <v>1081</v>
      </c>
      <c r="F29" s="24" t="s">
        <v>1079</v>
      </c>
      <c r="G29" s="25">
        <v>46147</v>
      </c>
      <c r="H29" s="96">
        <v>46160</v>
      </c>
      <c r="I29" s="97">
        <v>215100</v>
      </c>
      <c r="J29" s="98">
        <f t="shared" si="2"/>
        <v>215100</v>
      </c>
      <c r="K29" s="14"/>
      <c r="L29" s="15"/>
      <c r="M29" s="15"/>
      <c r="N29" s="16" t="s">
        <v>89</v>
      </c>
      <c r="O29" s="16"/>
    </row>
    <row r="30" spans="2:15" x14ac:dyDescent="0.25">
      <c r="B30" s="7">
        <v>5</v>
      </c>
      <c r="C30" s="22"/>
      <c r="D30" s="9" t="s">
        <v>1082</v>
      </c>
      <c r="E30" s="23" t="s">
        <v>1083</v>
      </c>
      <c r="F30" s="24" t="s">
        <v>248</v>
      </c>
      <c r="G30" s="25">
        <v>46147</v>
      </c>
      <c r="H30" s="96">
        <v>46160</v>
      </c>
      <c r="I30" s="97">
        <v>215100</v>
      </c>
      <c r="J30" s="98">
        <f t="shared" si="2"/>
        <v>215100</v>
      </c>
      <c r="K30" s="14"/>
      <c r="L30" s="15"/>
      <c r="M30" s="15"/>
      <c r="N30" s="16" t="s">
        <v>89</v>
      </c>
      <c r="O30" s="16"/>
    </row>
    <row r="31" spans="2:15" x14ac:dyDescent="0.25">
      <c r="B31" s="7">
        <v>6</v>
      </c>
      <c r="C31" s="22"/>
      <c r="D31" s="9" t="s">
        <v>1084</v>
      </c>
      <c r="E31" s="23" t="s">
        <v>1085</v>
      </c>
      <c r="F31" s="24" t="s">
        <v>248</v>
      </c>
      <c r="G31" s="25">
        <v>46147</v>
      </c>
      <c r="H31" s="96">
        <v>46160</v>
      </c>
      <c r="I31" s="97">
        <v>430200</v>
      </c>
      <c r="J31" s="98">
        <f t="shared" si="2"/>
        <v>430200</v>
      </c>
      <c r="K31" s="14"/>
      <c r="L31" s="15"/>
      <c r="M31" s="15"/>
      <c r="N31" s="16" t="s">
        <v>89</v>
      </c>
      <c r="O31" s="16"/>
    </row>
    <row r="32" spans="2:15" x14ac:dyDescent="0.25">
      <c r="B32" s="7">
        <v>7</v>
      </c>
      <c r="C32" s="22"/>
      <c r="D32" s="9" t="s">
        <v>990</v>
      </c>
      <c r="E32" s="23" t="s">
        <v>164</v>
      </c>
      <c r="F32" s="24" t="s">
        <v>165</v>
      </c>
      <c r="G32" s="25">
        <v>46132</v>
      </c>
      <c r="H32" s="96">
        <v>46145</v>
      </c>
      <c r="I32" s="97">
        <v>433600</v>
      </c>
      <c r="J32" s="98"/>
      <c r="K32" s="14"/>
      <c r="L32" s="15">
        <f>I32</f>
        <v>433600</v>
      </c>
      <c r="M32" s="15"/>
      <c r="N32" s="16" t="s">
        <v>89</v>
      </c>
      <c r="O32" s="16"/>
    </row>
    <row r="33" spans="2:15" x14ac:dyDescent="0.25">
      <c r="B33" s="7">
        <v>8</v>
      </c>
      <c r="C33" s="22"/>
      <c r="D33" s="9" t="s">
        <v>1086</v>
      </c>
      <c r="E33" s="23" t="s">
        <v>1076</v>
      </c>
      <c r="F33" s="24" t="s">
        <v>119</v>
      </c>
      <c r="G33" s="25">
        <v>46135</v>
      </c>
      <c r="H33" s="96">
        <v>46148</v>
      </c>
      <c r="I33" s="97">
        <v>435000</v>
      </c>
      <c r="J33" s="98"/>
      <c r="K33" s="14"/>
      <c r="L33" s="15">
        <f t="shared" ref="L33:L40" si="3">I33</f>
        <v>435000</v>
      </c>
      <c r="M33" s="15"/>
      <c r="N33" s="16" t="s">
        <v>89</v>
      </c>
      <c r="O33" s="16"/>
    </row>
    <row r="34" spans="2:15" x14ac:dyDescent="0.25">
      <c r="B34" s="7">
        <v>9</v>
      </c>
      <c r="C34" s="22"/>
      <c r="D34" s="9" t="s">
        <v>1087</v>
      </c>
      <c r="E34" s="23" t="s">
        <v>1088</v>
      </c>
      <c r="F34" s="24" t="s">
        <v>171</v>
      </c>
      <c r="G34" s="25">
        <v>46147</v>
      </c>
      <c r="H34" s="96">
        <v>46160</v>
      </c>
      <c r="I34" s="97">
        <v>342780</v>
      </c>
      <c r="J34" s="98"/>
      <c r="K34" s="14"/>
      <c r="L34" s="15">
        <f t="shared" si="3"/>
        <v>342780</v>
      </c>
      <c r="M34" s="15"/>
      <c r="N34" s="16" t="s">
        <v>89</v>
      </c>
      <c r="O34" s="16"/>
    </row>
    <row r="35" spans="2:15" x14ac:dyDescent="0.25">
      <c r="B35" s="7">
        <v>10</v>
      </c>
      <c r="C35" s="22"/>
      <c r="D35" s="9" t="s">
        <v>1089</v>
      </c>
      <c r="E35" s="23" t="s">
        <v>167</v>
      </c>
      <c r="F35" s="24" t="s">
        <v>168</v>
      </c>
      <c r="G35" s="25">
        <v>46147</v>
      </c>
      <c r="H35" s="96">
        <v>46160</v>
      </c>
      <c r="I35" s="97">
        <v>114278</v>
      </c>
      <c r="J35" s="98"/>
      <c r="K35" s="14"/>
      <c r="L35" s="15">
        <f t="shared" si="3"/>
        <v>114278</v>
      </c>
      <c r="M35" s="15"/>
      <c r="N35" s="16" t="s">
        <v>89</v>
      </c>
      <c r="O35" s="16"/>
    </row>
    <row r="36" spans="2:15" x14ac:dyDescent="0.25">
      <c r="B36" s="7">
        <v>11</v>
      </c>
      <c r="C36" s="22"/>
      <c r="D36" s="9" t="s">
        <v>1090</v>
      </c>
      <c r="E36" s="23" t="s">
        <v>1083</v>
      </c>
      <c r="F36" s="24" t="s">
        <v>248</v>
      </c>
      <c r="G36" s="25">
        <v>46147</v>
      </c>
      <c r="H36" s="96">
        <v>46160</v>
      </c>
      <c r="I36" s="97">
        <v>34278</v>
      </c>
      <c r="J36" s="98"/>
      <c r="K36" s="14"/>
      <c r="L36" s="15">
        <f t="shared" si="3"/>
        <v>34278</v>
      </c>
      <c r="M36" s="15"/>
      <c r="N36" s="16" t="s">
        <v>89</v>
      </c>
      <c r="O36" s="16"/>
    </row>
    <row r="37" spans="2:15" x14ac:dyDescent="0.25">
      <c r="B37" s="7">
        <v>12</v>
      </c>
      <c r="C37" s="22"/>
      <c r="D37" s="9" t="s">
        <v>1091</v>
      </c>
      <c r="E37" s="23" t="s">
        <v>1085</v>
      </c>
      <c r="F37" s="24" t="s">
        <v>248</v>
      </c>
      <c r="G37" s="25">
        <v>46147</v>
      </c>
      <c r="H37" s="96">
        <v>46160</v>
      </c>
      <c r="I37" s="97">
        <v>68556</v>
      </c>
      <c r="J37" s="98"/>
      <c r="K37" s="14"/>
      <c r="L37" s="15">
        <f t="shared" si="3"/>
        <v>68556</v>
      </c>
      <c r="M37" s="15"/>
      <c r="N37" s="16" t="s">
        <v>89</v>
      </c>
      <c r="O37" s="16"/>
    </row>
    <row r="38" spans="2:15" x14ac:dyDescent="0.25">
      <c r="B38" s="7">
        <v>13</v>
      </c>
      <c r="C38" s="22"/>
      <c r="D38" s="9" t="s">
        <v>1092</v>
      </c>
      <c r="E38" s="23" t="s">
        <v>1081</v>
      </c>
      <c r="F38" s="24" t="s">
        <v>1079</v>
      </c>
      <c r="G38" s="25">
        <v>46147</v>
      </c>
      <c r="H38" s="96">
        <v>46160</v>
      </c>
      <c r="I38" s="97">
        <v>73200</v>
      </c>
      <c r="J38" s="98"/>
      <c r="K38" s="14"/>
      <c r="L38" s="15">
        <f t="shared" si="3"/>
        <v>73200</v>
      </c>
      <c r="M38" s="15"/>
      <c r="N38" s="16" t="s">
        <v>89</v>
      </c>
      <c r="O38" s="16"/>
    </row>
    <row r="39" spans="2:15" x14ac:dyDescent="0.25">
      <c r="B39" s="7">
        <v>14</v>
      </c>
      <c r="C39" s="22"/>
      <c r="D39" s="9" t="s">
        <v>1093</v>
      </c>
      <c r="E39" s="23" t="s">
        <v>1094</v>
      </c>
      <c r="F39" s="24" t="s">
        <v>171</v>
      </c>
      <c r="G39" s="25">
        <v>46147</v>
      </c>
      <c r="H39" s="96">
        <v>46160</v>
      </c>
      <c r="I39" s="97">
        <v>2822400</v>
      </c>
      <c r="J39" s="98"/>
      <c r="K39" s="14"/>
      <c r="L39" s="15">
        <f t="shared" si="3"/>
        <v>2822400</v>
      </c>
      <c r="M39" s="15"/>
      <c r="N39" s="16" t="s">
        <v>89</v>
      </c>
      <c r="O39" s="16"/>
    </row>
    <row r="40" spans="2:15" x14ac:dyDescent="0.25">
      <c r="B40" s="7">
        <v>15</v>
      </c>
      <c r="C40" s="22"/>
      <c r="D40" s="9" t="s">
        <v>1095</v>
      </c>
      <c r="E40" s="23" t="s">
        <v>1096</v>
      </c>
      <c r="F40" s="24" t="s">
        <v>1079</v>
      </c>
      <c r="G40" s="25">
        <v>46147</v>
      </c>
      <c r="H40" s="96">
        <v>46160</v>
      </c>
      <c r="I40" s="97">
        <v>156000</v>
      </c>
      <c r="J40" s="98"/>
      <c r="K40" s="14"/>
      <c r="L40" s="15">
        <f t="shared" si="3"/>
        <v>156000</v>
      </c>
      <c r="M40" s="15"/>
      <c r="N40" s="16" t="s">
        <v>89</v>
      </c>
      <c r="O40" s="16"/>
    </row>
    <row r="41" spans="2:15" ht="15.75" x14ac:dyDescent="0.25">
      <c r="B41" s="143" t="s">
        <v>12</v>
      </c>
      <c r="C41" s="144"/>
      <c r="D41" s="144"/>
      <c r="E41" s="144"/>
      <c r="F41" s="144"/>
      <c r="G41" s="144"/>
      <c r="H41" s="144"/>
      <c r="I41" s="170"/>
      <c r="J41" s="110">
        <f>SUM(J26:J40)</f>
        <v>2366100</v>
      </c>
      <c r="K41" s="18">
        <f>SUM(K26:K40)</f>
        <v>0</v>
      </c>
      <c r="L41" s="19">
        <f>SUM(L26:L40)</f>
        <v>4480092</v>
      </c>
      <c r="M41" s="19">
        <f>SUM(M26:M40)</f>
        <v>0</v>
      </c>
      <c r="N41" s="28"/>
      <c r="O41" s="29">
        <f>SUM(J41+K41+L41+M41)</f>
        <v>6846192</v>
      </c>
    </row>
    <row r="42" spans="2:15" ht="15.75" x14ac:dyDescent="0.25">
      <c r="B42" s="147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</row>
    <row r="43" spans="2:15" ht="15.75" x14ac:dyDescent="0.25">
      <c r="B43" s="67">
        <v>1</v>
      </c>
      <c r="C43" s="31" t="s">
        <v>22</v>
      </c>
      <c r="D43" s="55" t="s">
        <v>1013</v>
      </c>
      <c r="E43" s="71" t="s">
        <v>1014</v>
      </c>
      <c r="F43" s="71" t="s">
        <v>1015</v>
      </c>
      <c r="G43" s="68">
        <v>46146</v>
      </c>
      <c r="H43" s="68">
        <v>46159</v>
      </c>
      <c r="I43" s="69">
        <v>158100</v>
      </c>
      <c r="J43" s="81">
        <f>I43</f>
        <v>158100</v>
      </c>
      <c r="K43" s="82"/>
      <c r="L43" s="79"/>
      <c r="M43" s="79"/>
      <c r="N43" s="16"/>
      <c r="O43" s="67"/>
    </row>
    <row r="44" spans="2:15" ht="15.75" x14ac:dyDescent="0.25">
      <c r="B44" s="67">
        <v>2</v>
      </c>
      <c r="C44" s="31"/>
      <c r="D44" s="55" t="s">
        <v>1016</v>
      </c>
      <c r="E44" s="71" t="s">
        <v>176</v>
      </c>
      <c r="F44" s="71" t="s">
        <v>177</v>
      </c>
      <c r="G44" s="68">
        <v>46146</v>
      </c>
      <c r="H44" s="68">
        <v>46159</v>
      </c>
      <c r="I44" s="69">
        <v>343000</v>
      </c>
      <c r="J44" s="81">
        <f t="shared" ref="J44:J49" si="4">I44</f>
        <v>343000</v>
      </c>
      <c r="K44" s="82"/>
      <c r="L44" s="79"/>
      <c r="M44" s="79"/>
      <c r="N44" s="16"/>
      <c r="O44" s="67"/>
    </row>
    <row r="45" spans="2:15" ht="15.75" x14ac:dyDescent="0.25">
      <c r="B45" s="67">
        <v>3</v>
      </c>
      <c r="C45" s="31"/>
      <c r="D45" s="55" t="s">
        <v>1097</v>
      </c>
      <c r="E45" s="71" t="s">
        <v>1008</v>
      </c>
      <c r="F45" s="71" t="s">
        <v>266</v>
      </c>
      <c r="G45" s="68">
        <v>46147</v>
      </c>
      <c r="H45" s="68">
        <v>46160</v>
      </c>
      <c r="I45" s="69">
        <v>1526700</v>
      </c>
      <c r="J45" s="81">
        <f t="shared" si="4"/>
        <v>1526700</v>
      </c>
      <c r="K45" s="82"/>
      <c r="L45" s="79"/>
      <c r="M45" s="79"/>
      <c r="N45" s="16"/>
      <c r="O45" s="67"/>
    </row>
    <row r="46" spans="2:15" ht="15.75" x14ac:dyDescent="0.25">
      <c r="B46" s="67">
        <v>4</v>
      </c>
      <c r="C46" s="31"/>
      <c r="D46" s="55" t="s">
        <v>1098</v>
      </c>
      <c r="E46" s="71" t="s">
        <v>1099</v>
      </c>
      <c r="F46" s="71" t="s">
        <v>271</v>
      </c>
      <c r="G46" s="68">
        <v>46147</v>
      </c>
      <c r="H46" s="68">
        <v>46160</v>
      </c>
      <c r="I46" s="69">
        <v>2715000</v>
      </c>
      <c r="J46" s="81">
        <f t="shared" si="4"/>
        <v>2715000</v>
      </c>
      <c r="K46" s="82"/>
      <c r="L46" s="79"/>
      <c r="M46" s="79"/>
      <c r="N46" s="16"/>
      <c r="O46" s="67"/>
    </row>
    <row r="47" spans="2:15" ht="15.75" x14ac:dyDescent="0.25">
      <c r="B47" s="67">
        <v>5</v>
      </c>
      <c r="C47" s="31"/>
      <c r="D47" s="55" t="s">
        <v>1100</v>
      </c>
      <c r="E47" s="71" t="s">
        <v>1101</v>
      </c>
      <c r="F47" s="71" t="s">
        <v>271</v>
      </c>
      <c r="G47" s="68">
        <v>46147</v>
      </c>
      <c r="H47" s="68">
        <v>46160</v>
      </c>
      <c r="I47" s="69">
        <v>112800</v>
      </c>
      <c r="J47" s="81">
        <f t="shared" si="4"/>
        <v>112800</v>
      </c>
      <c r="K47" s="82"/>
      <c r="L47" s="79"/>
      <c r="M47" s="79"/>
      <c r="N47" s="16"/>
      <c r="O47" s="67"/>
    </row>
    <row r="48" spans="2:15" ht="15.75" x14ac:dyDescent="0.25">
      <c r="B48" s="67">
        <v>6</v>
      </c>
      <c r="C48" s="31"/>
      <c r="D48" s="55" t="s">
        <v>1102</v>
      </c>
      <c r="E48" s="71" t="s">
        <v>1103</v>
      </c>
      <c r="F48" s="71" t="s">
        <v>1104</v>
      </c>
      <c r="G48" s="68">
        <v>46147</v>
      </c>
      <c r="H48" s="68">
        <v>46160</v>
      </c>
      <c r="I48" s="69">
        <v>430200</v>
      </c>
      <c r="J48" s="81">
        <f t="shared" si="4"/>
        <v>430200</v>
      </c>
      <c r="K48" s="82"/>
      <c r="L48" s="79"/>
      <c r="M48" s="79"/>
      <c r="N48" s="16"/>
      <c r="O48" s="67"/>
    </row>
    <row r="49" spans="2:15" ht="15.75" x14ac:dyDescent="0.25">
      <c r="B49" s="67">
        <v>7</v>
      </c>
      <c r="C49" s="31"/>
      <c r="D49" s="55" t="s">
        <v>1105</v>
      </c>
      <c r="E49" s="71" t="s">
        <v>1106</v>
      </c>
      <c r="F49" s="71" t="s">
        <v>271</v>
      </c>
      <c r="G49" s="68">
        <v>46147</v>
      </c>
      <c r="H49" s="68">
        <v>46160</v>
      </c>
      <c r="I49" s="69">
        <v>1967400</v>
      </c>
      <c r="J49" s="81">
        <f t="shared" si="4"/>
        <v>1967400</v>
      </c>
      <c r="K49" s="82"/>
      <c r="L49" s="79"/>
      <c r="M49" s="79"/>
      <c r="N49" s="16"/>
      <c r="O49" s="67"/>
    </row>
    <row r="50" spans="2:15" ht="15.75" x14ac:dyDescent="0.25">
      <c r="B50" s="67">
        <v>8</v>
      </c>
      <c r="C50" s="31"/>
      <c r="D50" s="55" t="s">
        <v>1107</v>
      </c>
      <c r="E50" s="71" t="s">
        <v>1014</v>
      </c>
      <c r="F50" s="71" t="s">
        <v>1015</v>
      </c>
      <c r="G50" s="68">
        <v>46146</v>
      </c>
      <c r="H50" s="68">
        <v>46159</v>
      </c>
      <c r="I50" s="69">
        <v>436156</v>
      </c>
      <c r="J50" s="81"/>
      <c r="K50" s="82"/>
      <c r="L50" s="70">
        <f>I50</f>
        <v>436156</v>
      </c>
      <c r="M50" s="70"/>
      <c r="N50" s="16"/>
      <c r="O50" s="67"/>
    </row>
    <row r="51" spans="2:15" ht="15.75" x14ac:dyDescent="0.25">
      <c r="B51" s="67">
        <v>9</v>
      </c>
      <c r="C51" s="31"/>
      <c r="D51" s="55" t="s">
        <v>1108</v>
      </c>
      <c r="E51" s="71" t="s">
        <v>176</v>
      </c>
      <c r="F51" s="71" t="s">
        <v>177</v>
      </c>
      <c r="G51" s="68">
        <v>46146</v>
      </c>
      <c r="H51" s="68">
        <v>46159</v>
      </c>
      <c r="I51" s="69">
        <v>137112</v>
      </c>
      <c r="J51" s="81"/>
      <c r="K51" s="82"/>
      <c r="L51" s="70">
        <f t="shared" ref="L51:L56" si="5">I51</f>
        <v>137112</v>
      </c>
      <c r="M51" s="70"/>
      <c r="N51" s="16"/>
      <c r="O51" s="67"/>
    </row>
    <row r="52" spans="2:15" ht="15.75" x14ac:dyDescent="0.25">
      <c r="B52" s="67">
        <v>10</v>
      </c>
      <c r="C52" s="67"/>
      <c r="D52" s="55" t="s">
        <v>1109</v>
      </c>
      <c r="E52" s="71" t="s">
        <v>1099</v>
      </c>
      <c r="F52" s="71" t="s">
        <v>271</v>
      </c>
      <c r="G52" s="68">
        <v>46147</v>
      </c>
      <c r="H52" s="68">
        <v>46160</v>
      </c>
      <c r="I52" s="69">
        <v>498780</v>
      </c>
      <c r="J52" s="81"/>
      <c r="K52" s="82"/>
      <c r="L52" s="70">
        <f t="shared" si="5"/>
        <v>498780</v>
      </c>
      <c r="M52" s="70"/>
      <c r="N52" s="16"/>
      <c r="O52" s="67"/>
    </row>
    <row r="53" spans="2:15" ht="15.75" x14ac:dyDescent="0.25">
      <c r="B53" s="67">
        <v>11</v>
      </c>
      <c r="C53" s="67"/>
      <c r="D53" s="55" t="s">
        <v>1110</v>
      </c>
      <c r="E53" s="71" t="s">
        <v>1106</v>
      </c>
      <c r="F53" s="71" t="s">
        <v>271</v>
      </c>
      <c r="G53" s="68">
        <v>46147</v>
      </c>
      <c r="H53" s="68">
        <v>46160</v>
      </c>
      <c r="I53" s="69">
        <v>342780</v>
      </c>
      <c r="J53" s="81"/>
      <c r="K53" s="82"/>
      <c r="L53" s="70">
        <f t="shared" si="5"/>
        <v>342780</v>
      </c>
      <c r="M53" s="70"/>
      <c r="N53" s="67"/>
      <c r="O53" s="67"/>
    </row>
    <row r="54" spans="2:15" ht="15.75" x14ac:dyDescent="0.25">
      <c r="B54" s="67">
        <v>12</v>
      </c>
      <c r="C54" s="67"/>
      <c r="D54" s="55" t="s">
        <v>1111</v>
      </c>
      <c r="E54" s="71" t="s">
        <v>1008</v>
      </c>
      <c r="F54" s="71" t="s">
        <v>266</v>
      </c>
      <c r="G54" s="68">
        <v>46147</v>
      </c>
      <c r="H54" s="68">
        <v>46160</v>
      </c>
      <c r="I54" s="69">
        <v>435000</v>
      </c>
      <c r="J54" s="81"/>
      <c r="K54" s="82"/>
      <c r="L54" s="70">
        <f t="shared" si="5"/>
        <v>435000</v>
      </c>
      <c r="M54" s="70"/>
      <c r="N54" s="16"/>
      <c r="O54" s="67"/>
    </row>
    <row r="55" spans="2:15" ht="15.75" x14ac:dyDescent="0.25">
      <c r="B55" s="67">
        <v>13</v>
      </c>
      <c r="C55" s="67"/>
      <c r="D55" s="55" t="s">
        <v>1112</v>
      </c>
      <c r="E55" s="71" t="s">
        <v>1103</v>
      </c>
      <c r="F55" s="71" t="s">
        <v>1104</v>
      </c>
      <c r="G55" s="68">
        <v>46147</v>
      </c>
      <c r="H55" s="68">
        <v>46160</v>
      </c>
      <c r="I55" s="69">
        <v>304500</v>
      </c>
      <c r="J55" s="81"/>
      <c r="K55" s="82"/>
      <c r="L55" s="70">
        <f t="shared" si="5"/>
        <v>304500</v>
      </c>
      <c r="M55" s="70"/>
      <c r="N55" s="16"/>
      <c r="O55" s="67"/>
    </row>
    <row r="56" spans="2:15" ht="15.75" x14ac:dyDescent="0.25">
      <c r="B56" s="67">
        <v>14</v>
      </c>
      <c r="C56" s="67"/>
      <c r="D56" s="86" t="s">
        <v>1136</v>
      </c>
      <c r="E56" s="71" t="s">
        <v>1137</v>
      </c>
      <c r="F56" s="71" t="s">
        <v>1138</v>
      </c>
      <c r="G56" s="68">
        <v>46143</v>
      </c>
      <c r="H56" s="68">
        <v>46156</v>
      </c>
      <c r="I56" s="69">
        <v>217500</v>
      </c>
      <c r="J56" s="81"/>
      <c r="K56" s="78"/>
      <c r="L56" s="70">
        <f t="shared" si="5"/>
        <v>217500</v>
      </c>
      <c r="M56" s="70"/>
      <c r="N56" s="16"/>
      <c r="O56" s="67"/>
    </row>
    <row r="57" spans="2:15" ht="15.75" x14ac:dyDescent="0.25">
      <c r="B57" s="157" t="s">
        <v>12</v>
      </c>
      <c r="C57" s="158"/>
      <c r="D57" s="158"/>
      <c r="E57" s="158"/>
      <c r="F57" s="158"/>
      <c r="G57" s="158"/>
      <c r="H57" s="158"/>
      <c r="I57" s="159"/>
      <c r="J57" s="107">
        <f>SUM(J43:J56)</f>
        <v>7253200</v>
      </c>
      <c r="K57" s="60">
        <f>SUM(K43:K56)</f>
        <v>0</v>
      </c>
      <c r="L57" s="61">
        <f>SUM(L43:L56)</f>
        <v>2371828</v>
      </c>
      <c r="M57" s="61">
        <f>SUM(M43:M56)</f>
        <v>0</v>
      </c>
      <c r="N57" s="62"/>
      <c r="O57" s="63">
        <f>SUM(J57+K57+L57+M57)</f>
        <v>9625028</v>
      </c>
    </row>
    <row r="58" spans="2:15" x14ac:dyDescent="0.25">
      <c r="D58" s="42"/>
      <c r="I58" s="43"/>
      <c r="J58" s="43"/>
    </row>
    <row r="59" spans="2:15" x14ac:dyDescent="0.25">
      <c r="D59" s="42"/>
      <c r="I59" s="43"/>
      <c r="J59" s="43"/>
    </row>
    <row r="60" spans="2:15" ht="15.75" x14ac:dyDescent="0.25">
      <c r="D60" s="42"/>
      <c r="G60" s="150" t="s">
        <v>23</v>
      </c>
      <c r="H60" s="150"/>
      <c r="I60" s="150"/>
      <c r="J60" s="108">
        <f>SUM(J57+J41+J24)</f>
        <v>12211000</v>
      </c>
      <c r="K60" s="18">
        <f>SUM(K57+K41+K24)</f>
        <v>0</v>
      </c>
      <c r="L60" s="40">
        <f>SUM(L57+L41+L24)</f>
        <v>8236580</v>
      </c>
      <c r="M60" s="40"/>
      <c r="N60" s="28"/>
      <c r="O60" s="21">
        <f>SUM(J60+K60+L60+M60)</f>
        <v>20447580</v>
      </c>
    </row>
    <row r="61" spans="2:15" x14ac:dyDescent="0.25">
      <c r="D61" s="42"/>
      <c r="I61" s="43"/>
      <c r="J61" s="43"/>
    </row>
    <row r="62" spans="2:15" x14ac:dyDescent="0.25">
      <c r="B62" s="160" t="s">
        <v>24</v>
      </c>
      <c r="C62" s="160"/>
      <c r="D62" s="160"/>
      <c r="I62" s="43"/>
      <c r="J62" s="43"/>
    </row>
    <row r="63" spans="2:15" ht="15.75" x14ac:dyDescent="0.25">
      <c r="B63" s="154" t="s">
        <v>3</v>
      </c>
      <c r="C63" s="161" t="s">
        <v>25</v>
      </c>
      <c r="D63" s="154" t="s">
        <v>5</v>
      </c>
      <c r="E63" s="154" t="s">
        <v>6</v>
      </c>
      <c r="F63" s="154" t="s">
        <v>7</v>
      </c>
      <c r="G63" s="154" t="s">
        <v>8</v>
      </c>
      <c r="H63" s="154" t="s">
        <v>9</v>
      </c>
      <c r="I63" s="161" t="s">
        <v>26</v>
      </c>
      <c r="J63" s="122" t="s">
        <v>11</v>
      </c>
      <c r="K63" s="123"/>
      <c r="L63" s="123"/>
      <c r="M63" s="123"/>
      <c r="N63" s="124"/>
      <c r="O63" s="133" t="s">
        <v>12</v>
      </c>
    </row>
    <row r="64" spans="2:15" ht="15.75" x14ac:dyDescent="0.25">
      <c r="B64" s="155"/>
      <c r="C64" s="162"/>
      <c r="D64" s="155"/>
      <c r="E64" s="155"/>
      <c r="F64" s="155"/>
      <c r="G64" s="155"/>
      <c r="H64" s="155"/>
      <c r="I64" s="162"/>
      <c r="J64" s="135" t="s">
        <v>14</v>
      </c>
      <c r="K64" s="136"/>
      <c r="L64" s="137" t="s">
        <v>15</v>
      </c>
      <c r="M64" s="138"/>
      <c r="N64" s="6" t="s">
        <v>16</v>
      </c>
      <c r="O64" s="134"/>
    </row>
    <row r="65" spans="2:15" ht="15.75" x14ac:dyDescent="0.25">
      <c r="B65" s="83"/>
      <c r="C65" s="84"/>
      <c r="D65" s="83"/>
      <c r="E65" s="83"/>
      <c r="F65" s="83"/>
      <c r="G65" s="83"/>
      <c r="H65" s="83"/>
      <c r="I65" s="84"/>
      <c r="J65" s="101" t="s">
        <v>24</v>
      </c>
      <c r="K65" s="4" t="s">
        <v>1139</v>
      </c>
      <c r="L65" s="5" t="s">
        <v>24</v>
      </c>
      <c r="M65" s="5" t="s">
        <v>1139</v>
      </c>
      <c r="N65" s="6"/>
      <c r="O65" s="85"/>
    </row>
    <row r="66" spans="2:15" ht="15" customHeight="1" x14ac:dyDescent="0.25">
      <c r="B66" s="27">
        <v>1</v>
      </c>
      <c r="C66" s="31" t="s">
        <v>146</v>
      </c>
      <c r="D66" s="45" t="s">
        <v>1113</v>
      </c>
      <c r="E66" s="46" t="s">
        <v>1114</v>
      </c>
      <c r="F66" s="46" t="s">
        <v>1115</v>
      </c>
      <c r="G66" s="47">
        <v>46160</v>
      </c>
      <c r="H66" s="47"/>
      <c r="I66" s="48">
        <v>215100</v>
      </c>
      <c r="J66" s="98">
        <f>I66</f>
        <v>215100</v>
      </c>
      <c r="K66" s="49"/>
      <c r="L66" s="50"/>
      <c r="M66" s="50"/>
      <c r="N66" s="16" t="s">
        <v>89</v>
      </c>
      <c r="O66" s="17"/>
    </row>
    <row r="67" spans="2:15" ht="15" customHeight="1" x14ac:dyDescent="0.25">
      <c r="B67" s="27">
        <v>2</v>
      </c>
      <c r="C67" s="31" t="s">
        <v>88</v>
      </c>
      <c r="D67" s="51" t="s">
        <v>1116</v>
      </c>
      <c r="E67" s="51" t="s">
        <v>164</v>
      </c>
      <c r="F67" s="17" t="s">
        <v>165</v>
      </c>
      <c r="G67" s="47">
        <v>46160</v>
      </c>
      <c r="H67" s="52"/>
      <c r="I67" s="16">
        <v>2459300</v>
      </c>
      <c r="J67" s="98">
        <f t="shared" ref="J67:J71" si="6">I67</f>
        <v>2459300</v>
      </c>
      <c r="K67" s="49"/>
      <c r="L67" s="50"/>
      <c r="M67" s="50"/>
      <c r="N67" s="16" t="s">
        <v>89</v>
      </c>
      <c r="O67" s="17"/>
    </row>
    <row r="68" spans="2:15" ht="15" customHeight="1" x14ac:dyDescent="0.25">
      <c r="B68" s="27">
        <v>3</v>
      </c>
      <c r="C68" s="31" t="s">
        <v>88</v>
      </c>
      <c r="D68" s="51" t="s">
        <v>1117</v>
      </c>
      <c r="E68" s="51" t="s">
        <v>1118</v>
      </c>
      <c r="F68" s="17" t="s">
        <v>116</v>
      </c>
      <c r="G68" s="47">
        <v>46160</v>
      </c>
      <c r="H68" s="52"/>
      <c r="I68" s="16">
        <v>215100</v>
      </c>
      <c r="J68" s="98">
        <f t="shared" si="6"/>
        <v>215100</v>
      </c>
      <c r="K68" s="49"/>
      <c r="L68" s="50"/>
      <c r="M68" s="50"/>
      <c r="N68" s="16" t="s">
        <v>89</v>
      </c>
      <c r="O68" s="17"/>
    </row>
    <row r="69" spans="2:15" ht="15" customHeight="1" x14ac:dyDescent="0.25">
      <c r="B69" s="27">
        <v>4</v>
      </c>
      <c r="C69" s="31" t="s">
        <v>88</v>
      </c>
      <c r="D69" s="51" t="s">
        <v>1119</v>
      </c>
      <c r="E69" s="51" t="s">
        <v>210</v>
      </c>
      <c r="F69" s="17" t="s">
        <v>211</v>
      </c>
      <c r="G69" s="47">
        <v>46160</v>
      </c>
      <c r="H69" s="52"/>
      <c r="I69" s="16">
        <v>215100</v>
      </c>
      <c r="J69" s="98">
        <f t="shared" si="6"/>
        <v>215100</v>
      </c>
      <c r="K69" s="49"/>
      <c r="L69" s="50"/>
      <c r="M69" s="50"/>
      <c r="N69" s="16" t="s">
        <v>89</v>
      </c>
      <c r="O69" s="17"/>
    </row>
    <row r="70" spans="2:15" ht="15" customHeight="1" x14ac:dyDescent="0.25">
      <c r="B70" s="27">
        <v>5</v>
      </c>
      <c r="C70" s="31" t="s">
        <v>88</v>
      </c>
      <c r="D70" s="51" t="s">
        <v>1120</v>
      </c>
      <c r="E70" s="51" t="s">
        <v>215</v>
      </c>
      <c r="F70" s="17" t="s">
        <v>211</v>
      </c>
      <c r="G70" s="47">
        <v>46160</v>
      </c>
      <c r="H70" s="52"/>
      <c r="I70" s="16">
        <v>215100</v>
      </c>
      <c r="J70" s="98">
        <f t="shared" si="6"/>
        <v>215100</v>
      </c>
      <c r="K70" s="49"/>
      <c r="L70" s="50"/>
      <c r="M70" s="50"/>
      <c r="N70" s="16" t="s">
        <v>89</v>
      </c>
      <c r="O70" s="17"/>
    </row>
    <row r="71" spans="2:15" ht="15" customHeight="1" x14ac:dyDescent="0.25">
      <c r="B71" s="27">
        <v>6</v>
      </c>
      <c r="C71" s="31" t="s">
        <v>88</v>
      </c>
      <c r="D71" s="51" t="s">
        <v>1121</v>
      </c>
      <c r="E71" s="51" t="s">
        <v>217</v>
      </c>
      <c r="F71" s="17" t="s">
        <v>218</v>
      </c>
      <c r="G71" s="47">
        <v>46160</v>
      </c>
      <c r="H71" s="52"/>
      <c r="I71" s="16">
        <v>961500</v>
      </c>
      <c r="J71" s="98">
        <f t="shared" si="6"/>
        <v>961500</v>
      </c>
      <c r="K71" s="49"/>
      <c r="L71" s="50"/>
      <c r="M71" s="50"/>
      <c r="N71" s="16" t="s">
        <v>89</v>
      </c>
      <c r="O71" s="17"/>
    </row>
    <row r="72" spans="2:15" ht="15" customHeight="1" x14ac:dyDescent="0.25">
      <c r="B72" s="27">
        <v>7</v>
      </c>
      <c r="C72" s="31" t="s">
        <v>88</v>
      </c>
      <c r="D72" s="51" t="s">
        <v>1122</v>
      </c>
      <c r="E72" s="51" t="s">
        <v>220</v>
      </c>
      <c r="F72" s="17" t="s">
        <v>218</v>
      </c>
      <c r="G72" s="47">
        <v>46160</v>
      </c>
      <c r="H72" s="52"/>
      <c r="I72" s="16">
        <v>10455000</v>
      </c>
      <c r="J72" s="98">
        <v>455000</v>
      </c>
      <c r="K72" s="49">
        <v>10000000</v>
      </c>
      <c r="L72" s="50"/>
      <c r="M72" s="50"/>
      <c r="N72" s="16" t="s">
        <v>89</v>
      </c>
      <c r="O72" s="17"/>
    </row>
    <row r="73" spans="2:15" ht="15" customHeight="1" x14ac:dyDescent="0.25">
      <c r="B73" s="27">
        <v>8</v>
      </c>
      <c r="C73" s="31" t="s">
        <v>88</v>
      </c>
      <c r="D73" s="51" t="s">
        <v>1123</v>
      </c>
      <c r="E73" s="51" t="s">
        <v>210</v>
      </c>
      <c r="F73" s="17" t="s">
        <v>211</v>
      </c>
      <c r="G73" s="47">
        <v>46160</v>
      </c>
      <c r="H73" s="52"/>
      <c r="I73" s="16">
        <v>137112</v>
      </c>
      <c r="J73" s="100"/>
      <c r="K73" s="49"/>
      <c r="L73" s="15">
        <f>I73</f>
        <v>137112</v>
      </c>
      <c r="M73" s="15"/>
      <c r="N73" s="16" t="s">
        <v>89</v>
      </c>
      <c r="O73" s="17"/>
    </row>
    <row r="74" spans="2:15" ht="15.75" x14ac:dyDescent="0.25">
      <c r="B74" s="122" t="s">
        <v>27</v>
      </c>
      <c r="C74" s="123"/>
      <c r="D74" s="123"/>
      <c r="E74" s="123"/>
      <c r="F74" s="123"/>
      <c r="G74" s="123"/>
      <c r="H74" s="123"/>
      <c r="I74" s="124"/>
      <c r="J74" s="106">
        <f>SUM(J66:J73)</f>
        <v>4736200</v>
      </c>
      <c r="K74" s="39">
        <f>SUM(K66:K73)</f>
        <v>10000000</v>
      </c>
      <c r="L74" s="40">
        <f>SUM(L66:L73)</f>
        <v>137112</v>
      </c>
      <c r="M74" s="40"/>
      <c r="N74" s="28"/>
      <c r="O74" s="41">
        <f>SUM(J74+K74+L74+M74)</f>
        <v>14873312</v>
      </c>
    </row>
    <row r="75" spans="2:15" ht="15.75" x14ac:dyDescent="0.25">
      <c r="B75" s="139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</row>
    <row r="76" spans="2:15" x14ac:dyDescent="0.25">
      <c r="B76" s="55">
        <v>1</v>
      </c>
      <c r="C76" s="8" t="s">
        <v>87</v>
      </c>
      <c r="D76" s="51" t="s">
        <v>1124</v>
      </c>
      <c r="E76" s="51" t="s">
        <v>179</v>
      </c>
      <c r="F76" s="17" t="s">
        <v>180</v>
      </c>
      <c r="G76" s="47">
        <v>46160</v>
      </c>
      <c r="H76" s="52"/>
      <c r="I76" s="16">
        <v>215100</v>
      </c>
      <c r="J76" s="100">
        <f>I76</f>
        <v>215100</v>
      </c>
      <c r="K76" s="49"/>
      <c r="L76" s="50"/>
      <c r="M76" s="50"/>
      <c r="N76" s="16" t="s">
        <v>89</v>
      </c>
      <c r="O76" s="17"/>
    </row>
    <row r="77" spans="2:15" x14ac:dyDescent="0.25">
      <c r="B77" s="55">
        <v>2</v>
      </c>
      <c r="C77" s="8" t="s">
        <v>87</v>
      </c>
      <c r="D77" s="51" t="s">
        <v>1125</v>
      </c>
      <c r="E77" s="51" t="s">
        <v>182</v>
      </c>
      <c r="F77" s="17" t="s">
        <v>180</v>
      </c>
      <c r="G77" s="47">
        <v>46160</v>
      </c>
      <c r="H77" s="52"/>
      <c r="I77" s="16">
        <v>430200</v>
      </c>
      <c r="J77" s="100">
        <f t="shared" ref="J77:J79" si="7">I77</f>
        <v>430200</v>
      </c>
      <c r="K77" s="49"/>
      <c r="L77" s="15"/>
      <c r="M77" s="15"/>
      <c r="N77" s="16" t="s">
        <v>89</v>
      </c>
      <c r="O77" s="17"/>
    </row>
    <row r="78" spans="2:15" x14ac:dyDescent="0.25">
      <c r="B78" s="55">
        <v>3</v>
      </c>
      <c r="C78" s="8" t="s">
        <v>87</v>
      </c>
      <c r="D78" s="51" t="s">
        <v>1126</v>
      </c>
      <c r="E78" s="51" t="s">
        <v>184</v>
      </c>
      <c r="F78" s="17" t="s">
        <v>180</v>
      </c>
      <c r="G78" s="47">
        <v>46160</v>
      </c>
      <c r="H78" s="52"/>
      <c r="I78" s="16">
        <v>645300</v>
      </c>
      <c r="J78" s="100">
        <f t="shared" si="7"/>
        <v>645300</v>
      </c>
      <c r="K78" s="49"/>
      <c r="L78" s="50"/>
      <c r="M78" s="50"/>
      <c r="N78" s="16" t="s">
        <v>89</v>
      </c>
      <c r="O78" s="17"/>
    </row>
    <row r="79" spans="2:15" x14ac:dyDescent="0.25">
      <c r="B79" s="55">
        <v>4</v>
      </c>
      <c r="C79" s="8" t="s">
        <v>87</v>
      </c>
      <c r="D79" s="51" t="s">
        <v>1127</v>
      </c>
      <c r="E79" s="51" t="s">
        <v>1128</v>
      </c>
      <c r="F79" s="17" t="s">
        <v>180</v>
      </c>
      <c r="G79" s="47">
        <v>46160</v>
      </c>
      <c r="H79" s="52"/>
      <c r="I79" s="16">
        <v>758900</v>
      </c>
      <c r="J79" s="100">
        <f t="shared" si="7"/>
        <v>758900</v>
      </c>
      <c r="K79" s="49"/>
      <c r="L79" s="50"/>
      <c r="M79" s="50"/>
      <c r="N79" s="16" t="s">
        <v>89</v>
      </c>
      <c r="O79" s="17"/>
    </row>
    <row r="80" spans="2:15" x14ac:dyDescent="0.25">
      <c r="B80" s="55">
        <v>5</v>
      </c>
      <c r="C80" s="8" t="s">
        <v>87</v>
      </c>
      <c r="D80" s="51" t="s">
        <v>1129</v>
      </c>
      <c r="E80" s="51" t="s">
        <v>1006</v>
      </c>
      <c r="F80" s="17" t="s">
        <v>122</v>
      </c>
      <c r="G80" s="47">
        <v>46160</v>
      </c>
      <c r="H80" s="52"/>
      <c r="I80" s="16">
        <v>10455000</v>
      </c>
      <c r="J80" s="100"/>
      <c r="K80" s="49">
        <v>10455000</v>
      </c>
      <c r="L80" s="50"/>
      <c r="M80" s="50"/>
      <c r="N80" s="16" t="s">
        <v>896</v>
      </c>
      <c r="O80" s="17"/>
    </row>
    <row r="81" spans="1:15" x14ac:dyDescent="0.25">
      <c r="B81" s="55">
        <v>6</v>
      </c>
      <c r="C81" s="8" t="s">
        <v>87</v>
      </c>
      <c r="D81" s="51" t="s">
        <v>1130</v>
      </c>
      <c r="E81" s="51" t="s">
        <v>184</v>
      </c>
      <c r="F81" s="17" t="s">
        <v>122</v>
      </c>
      <c r="G81" s="47">
        <v>46160</v>
      </c>
      <c r="H81" s="52"/>
      <c r="I81" s="16">
        <v>315390</v>
      </c>
      <c r="J81" s="100"/>
      <c r="K81" s="49"/>
      <c r="L81" s="15">
        <f>I81</f>
        <v>315390</v>
      </c>
      <c r="M81" s="15"/>
      <c r="N81" s="16" t="s">
        <v>89</v>
      </c>
      <c r="O81" s="17"/>
    </row>
    <row r="82" spans="1:15" x14ac:dyDescent="0.25">
      <c r="B82" s="55">
        <v>7</v>
      </c>
      <c r="C82" s="8" t="s">
        <v>87</v>
      </c>
      <c r="D82" s="51" t="s">
        <v>1131</v>
      </c>
      <c r="E82" s="51" t="s">
        <v>1128</v>
      </c>
      <c r="F82" s="17" t="s">
        <v>180</v>
      </c>
      <c r="G82" s="47">
        <v>46160</v>
      </c>
      <c r="H82" s="52"/>
      <c r="I82" s="16">
        <v>1388956</v>
      </c>
      <c r="J82" s="100"/>
      <c r="K82" s="49"/>
      <c r="L82" s="15">
        <f t="shared" ref="L82:L83" si="8">I82</f>
        <v>1388956</v>
      </c>
      <c r="M82" s="15"/>
      <c r="N82" s="16" t="s">
        <v>89</v>
      </c>
      <c r="O82" s="17"/>
    </row>
    <row r="83" spans="1:15" x14ac:dyDescent="0.25">
      <c r="B83" s="55">
        <v>8</v>
      </c>
      <c r="C83" s="8" t="s">
        <v>87</v>
      </c>
      <c r="D83" s="51" t="s">
        <v>1132</v>
      </c>
      <c r="E83" s="51" t="s">
        <v>188</v>
      </c>
      <c r="F83" s="17" t="s">
        <v>1133</v>
      </c>
      <c r="G83" s="47">
        <v>46160</v>
      </c>
      <c r="H83" s="52"/>
      <c r="I83" s="16">
        <v>1096400</v>
      </c>
      <c r="J83" s="100"/>
      <c r="K83" s="49"/>
      <c r="L83" s="15">
        <f t="shared" si="8"/>
        <v>1096400</v>
      </c>
      <c r="M83" s="15"/>
      <c r="N83" s="16" t="s">
        <v>89</v>
      </c>
      <c r="O83" s="17"/>
    </row>
    <row r="84" spans="1:15" x14ac:dyDescent="0.25">
      <c r="B84" s="55">
        <v>9</v>
      </c>
      <c r="C84" s="8" t="s">
        <v>87</v>
      </c>
      <c r="D84" s="51" t="s">
        <v>1134</v>
      </c>
      <c r="E84" s="51" t="s">
        <v>867</v>
      </c>
      <c r="F84" s="17" t="s">
        <v>570</v>
      </c>
      <c r="G84" s="47">
        <v>46160</v>
      </c>
      <c r="H84" s="52"/>
      <c r="I84" s="16">
        <v>1111000</v>
      </c>
      <c r="J84" s="100">
        <f>I84</f>
        <v>1111000</v>
      </c>
      <c r="K84" s="49"/>
      <c r="L84" s="15"/>
      <c r="M84" s="15"/>
      <c r="N84" s="16" t="s">
        <v>89</v>
      </c>
      <c r="O84" s="17"/>
    </row>
    <row r="85" spans="1:15" x14ac:dyDescent="0.25">
      <c r="B85" s="55">
        <v>10</v>
      </c>
      <c r="C85" s="8" t="s">
        <v>87</v>
      </c>
      <c r="D85" s="51" t="s">
        <v>1135</v>
      </c>
      <c r="E85" s="51" t="s">
        <v>867</v>
      </c>
      <c r="F85" s="17" t="s">
        <v>570</v>
      </c>
      <c r="G85" s="47">
        <v>46160</v>
      </c>
      <c r="H85" s="52"/>
      <c r="I85" s="16">
        <v>2152800</v>
      </c>
      <c r="J85" s="100"/>
      <c r="K85" s="49"/>
      <c r="L85" s="15">
        <f>I85</f>
        <v>2152800</v>
      </c>
      <c r="M85" s="15"/>
      <c r="N85" s="16" t="s">
        <v>89</v>
      </c>
      <c r="O85" s="17"/>
    </row>
    <row r="86" spans="1:15" ht="15.75" x14ac:dyDescent="0.25">
      <c r="A86" t="s">
        <v>90</v>
      </c>
      <c r="B86" s="122" t="s">
        <v>27</v>
      </c>
      <c r="C86" s="123"/>
      <c r="D86" s="123"/>
      <c r="E86" s="123"/>
      <c r="F86" s="123"/>
      <c r="G86" s="123"/>
      <c r="H86" s="123"/>
      <c r="I86" s="124"/>
      <c r="J86" s="109">
        <f>SUM(J76:J85)</f>
        <v>3160500</v>
      </c>
      <c r="K86" s="39">
        <f>SUM(K76:K85)</f>
        <v>10455000</v>
      </c>
      <c r="L86" s="40">
        <f>SUM(L76:L85)</f>
        <v>4953546</v>
      </c>
      <c r="M86" s="40"/>
      <c r="N86" s="28"/>
      <c r="O86" s="41">
        <f>SUM(J86+K86+L86+M86)</f>
        <v>18569046</v>
      </c>
    </row>
    <row r="87" spans="1:15" x14ac:dyDescent="0.25">
      <c r="D87" s="42"/>
      <c r="I87" s="43"/>
      <c r="J87" s="43"/>
    </row>
    <row r="88" spans="1:15" ht="15.75" x14ac:dyDescent="0.25">
      <c r="D88" s="42"/>
      <c r="H88" s="122" t="s">
        <v>28</v>
      </c>
      <c r="I88" s="124"/>
      <c r="J88" s="106">
        <f>SUM(J86+J74)</f>
        <v>7896700</v>
      </c>
      <c r="K88" s="39">
        <f>SUM(K86+K74)</f>
        <v>20455000</v>
      </c>
      <c r="L88" s="40">
        <f>SUM(L86+L74)</f>
        <v>5090658</v>
      </c>
      <c r="M88" s="40">
        <v>0</v>
      </c>
      <c r="N88" s="28"/>
      <c r="O88" s="99">
        <f>SUM(J88+K88+L88+M88)</f>
        <v>33442358</v>
      </c>
    </row>
    <row r="89" spans="1:15" ht="15.75" x14ac:dyDescent="0.25">
      <c r="D89" s="42"/>
      <c r="H89" s="87"/>
      <c r="I89" s="87"/>
      <c r="J89" s="87"/>
      <c r="K89" s="102"/>
      <c r="L89" s="102"/>
      <c r="M89" s="102"/>
      <c r="N89" s="103"/>
      <c r="O89" s="104"/>
    </row>
    <row r="90" spans="1:15" ht="15.75" x14ac:dyDescent="0.25">
      <c r="D90" s="42"/>
      <c r="H90" s="125" t="s">
        <v>29</v>
      </c>
      <c r="I90" s="126"/>
      <c r="J90" s="131" t="s">
        <v>14</v>
      </c>
      <c r="K90" s="131"/>
      <c r="L90" s="132" t="s">
        <v>15</v>
      </c>
      <c r="M90" s="132"/>
      <c r="N90" s="17"/>
      <c r="O90" s="116"/>
    </row>
    <row r="91" spans="1:15" ht="15.75" x14ac:dyDescent="0.25">
      <c r="D91" s="42"/>
      <c r="H91" s="127"/>
      <c r="I91" s="128"/>
      <c r="J91" s="4" t="s">
        <v>24</v>
      </c>
      <c r="K91" s="66" t="s">
        <v>1139</v>
      </c>
      <c r="L91" s="105" t="s">
        <v>24</v>
      </c>
      <c r="M91" s="105" t="s">
        <v>1139</v>
      </c>
      <c r="N91" s="17"/>
      <c r="O91" s="116"/>
    </row>
    <row r="92" spans="1:15" ht="15.75" x14ac:dyDescent="0.25">
      <c r="D92" s="42"/>
      <c r="H92" s="129"/>
      <c r="I92" s="130"/>
      <c r="J92" s="39">
        <f>SUM(J60,J88)</f>
        <v>20107700</v>
      </c>
      <c r="K92" s="39">
        <f>SUM(K88+K60)</f>
        <v>20455000</v>
      </c>
      <c r="L92" s="40">
        <f>SUM(L88+L60)</f>
        <v>13327238</v>
      </c>
      <c r="M92" s="40">
        <v>0</v>
      </c>
      <c r="N92" s="28"/>
      <c r="O92" s="116"/>
    </row>
    <row r="93" spans="1:15" x14ac:dyDescent="0.25">
      <c r="D93" s="42"/>
      <c r="I93" s="43"/>
      <c r="J93" s="43"/>
    </row>
    <row r="94" spans="1:15" ht="18.75" x14ac:dyDescent="0.3">
      <c r="D94" s="42"/>
      <c r="H94" s="117"/>
      <c r="I94" s="117"/>
      <c r="J94" s="111"/>
      <c r="L94" s="118" t="s">
        <v>1141</v>
      </c>
      <c r="M94" s="119"/>
      <c r="N94" s="112">
        <f>SUM(J92+L92)</f>
        <v>33434938</v>
      </c>
      <c r="O94" s="120">
        <f>SUM(N94+N95)</f>
        <v>53889938</v>
      </c>
    </row>
    <row r="95" spans="1:15" ht="18.75" x14ac:dyDescent="0.3">
      <c r="D95" s="42"/>
      <c r="H95" s="117"/>
      <c r="I95" s="117"/>
      <c r="J95" s="111"/>
      <c r="L95" s="118" t="s">
        <v>1142</v>
      </c>
      <c r="M95" s="119"/>
      <c r="N95" s="112">
        <f>SUM(K92+M92)</f>
        <v>20455000</v>
      </c>
      <c r="O95" s="121"/>
    </row>
    <row r="96" spans="1:15" ht="18.75" x14ac:dyDescent="0.3">
      <c r="D96" s="42"/>
      <c r="H96" s="115"/>
      <c r="I96" s="115"/>
      <c r="J96" s="113"/>
      <c r="K96" s="114"/>
    </row>
    <row r="97" spans="4:11" x14ac:dyDescent="0.25">
      <c r="D97" s="2" t="s">
        <v>30</v>
      </c>
      <c r="E97" s="1"/>
      <c r="F97" s="1"/>
      <c r="G97" s="1"/>
      <c r="H97" s="1"/>
      <c r="I97" s="1"/>
      <c r="J97" s="1"/>
      <c r="K97" s="1"/>
    </row>
    <row r="98" spans="4:11" x14ac:dyDescent="0.25">
      <c r="D98" s="2"/>
      <c r="E98" s="1"/>
      <c r="F98" s="1"/>
      <c r="G98" s="1"/>
      <c r="H98" s="1"/>
      <c r="I98" s="1"/>
      <c r="J98" s="1"/>
      <c r="K98" s="1"/>
    </row>
    <row r="99" spans="4:11" x14ac:dyDescent="0.25">
      <c r="D99" s="3" t="s">
        <v>31</v>
      </c>
      <c r="E99" s="3"/>
      <c r="F99" s="3" t="s">
        <v>32</v>
      </c>
      <c r="G99" s="3"/>
      <c r="H99" s="3" t="s">
        <v>33</v>
      </c>
      <c r="I99" s="3"/>
      <c r="J99" s="3"/>
      <c r="K99" s="3" t="s">
        <v>34</v>
      </c>
    </row>
    <row r="100" spans="4:11" x14ac:dyDescent="0.25">
      <c r="D100" s="3"/>
      <c r="E100" s="3"/>
      <c r="F100" s="3"/>
      <c r="G100" s="3"/>
      <c r="H100" s="3"/>
      <c r="I100" s="3"/>
      <c r="J100" s="3"/>
      <c r="K100" s="3"/>
    </row>
    <row r="101" spans="4:11" x14ac:dyDescent="0.25">
      <c r="D101" s="3"/>
      <c r="E101" s="3"/>
      <c r="F101" s="3"/>
      <c r="G101" s="3"/>
      <c r="H101" s="3"/>
      <c r="I101" s="3"/>
      <c r="J101" s="3"/>
      <c r="K101" s="3"/>
    </row>
    <row r="102" spans="4:11" x14ac:dyDescent="0.25">
      <c r="D102" s="3"/>
      <c r="E102" s="3"/>
      <c r="F102" s="3"/>
      <c r="G102" s="3"/>
      <c r="H102" s="3"/>
      <c r="I102" s="3"/>
      <c r="J102" s="3"/>
      <c r="K102" s="3"/>
    </row>
    <row r="103" spans="4:11" x14ac:dyDescent="0.25">
      <c r="D103" s="3" t="s">
        <v>35</v>
      </c>
      <c r="E103" s="3"/>
      <c r="F103" s="3" t="s">
        <v>36</v>
      </c>
      <c r="G103" s="3"/>
      <c r="H103" s="3" t="s">
        <v>36</v>
      </c>
      <c r="I103" s="3"/>
      <c r="J103" s="3"/>
      <c r="K103" s="3" t="s">
        <v>37</v>
      </c>
    </row>
    <row r="104" spans="4:11" x14ac:dyDescent="0.25">
      <c r="D104" s="42"/>
    </row>
    <row r="105" spans="4:11" x14ac:dyDescent="0.25">
      <c r="D105" s="42"/>
    </row>
    <row r="106" spans="4:11" x14ac:dyDescent="0.25">
      <c r="D106" s="42"/>
    </row>
    <row r="107" spans="4:11" x14ac:dyDescent="0.25">
      <c r="D107" s="42"/>
    </row>
    <row r="108" spans="4:11" x14ac:dyDescent="0.25">
      <c r="D108" s="42"/>
    </row>
  </sheetData>
  <mergeCells count="48">
    <mergeCell ref="B25:O25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O6:O7"/>
    <mergeCell ref="B24:I24"/>
    <mergeCell ref="J7:K7"/>
    <mergeCell ref="L7:M7"/>
    <mergeCell ref="J6:N6"/>
    <mergeCell ref="J63:N63"/>
    <mergeCell ref="J90:K90"/>
    <mergeCell ref="L90:M90"/>
    <mergeCell ref="B75:O75"/>
    <mergeCell ref="B86:I86"/>
    <mergeCell ref="H88:I88"/>
    <mergeCell ref="B41:I41"/>
    <mergeCell ref="B42:O42"/>
    <mergeCell ref="B57:I57"/>
    <mergeCell ref="G60:I60"/>
    <mergeCell ref="B62:D62"/>
    <mergeCell ref="B63:B64"/>
    <mergeCell ref="C63:C64"/>
    <mergeCell ref="H90:I92"/>
    <mergeCell ref="O90:O92"/>
    <mergeCell ref="J64:K64"/>
    <mergeCell ref="L64:M64"/>
    <mergeCell ref="H94:I94"/>
    <mergeCell ref="B74:I74"/>
    <mergeCell ref="D63:D64"/>
    <mergeCell ref="E63:E64"/>
    <mergeCell ref="F63:F64"/>
    <mergeCell ref="G63:G64"/>
    <mergeCell ref="H63:H64"/>
    <mergeCell ref="I63:I64"/>
    <mergeCell ref="O63:O64"/>
    <mergeCell ref="H96:I96"/>
    <mergeCell ref="H95:I95"/>
    <mergeCell ref="O94:O95"/>
    <mergeCell ref="L94:M94"/>
    <mergeCell ref="L95:M95"/>
  </mergeCells>
  <pageMargins left="0" right="0" top="0" bottom="0" header="0" footer="0"/>
  <pageSetup paperSize="9" scale="65" orientation="landscape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7AA1-BE08-4B32-ABB7-0EF950F25AC2}">
  <dimension ref="A2:Q87"/>
  <sheetViews>
    <sheetView workbookViewId="0">
      <selection activeCell="L5" sqref="L5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7109375" customWidth="1"/>
    <col min="11" max="11" width="14.7109375" customWidth="1"/>
    <col min="12" max="12" width="15.5703125" customWidth="1"/>
    <col min="13" max="13" width="14.85546875" customWidth="1"/>
    <col min="14" max="14" width="16.85546875" customWidth="1"/>
    <col min="15" max="15" width="17.7109375" customWidth="1"/>
  </cols>
  <sheetData>
    <row r="2" spans="2:17" x14ac:dyDescent="0.25">
      <c r="B2" s="1" t="s">
        <v>0</v>
      </c>
    </row>
    <row r="3" spans="2:17" x14ac:dyDescent="0.25">
      <c r="B3" s="152" t="s">
        <v>1</v>
      </c>
      <c r="C3" s="152"/>
      <c r="D3" s="152"/>
    </row>
    <row r="4" spans="2:17" x14ac:dyDescent="0.25">
      <c r="K4" s="1"/>
      <c r="L4" s="149" t="s">
        <v>1209</v>
      </c>
      <c r="M4" s="149"/>
      <c r="N4" s="149"/>
      <c r="O4" s="149"/>
    </row>
    <row r="5" spans="2:17" x14ac:dyDescent="0.25">
      <c r="B5" s="153" t="s">
        <v>2</v>
      </c>
      <c r="C5" s="153"/>
      <c r="D5" s="153"/>
      <c r="Q5" t="s">
        <v>90</v>
      </c>
    </row>
    <row r="6" spans="2:17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25" t="s">
        <v>9</v>
      </c>
      <c r="I6" s="156" t="s">
        <v>10</v>
      </c>
      <c r="J6" s="122" t="s">
        <v>11</v>
      </c>
      <c r="K6" s="123"/>
      <c r="L6" s="123"/>
      <c r="M6" s="123"/>
      <c r="N6" s="124"/>
      <c r="O6" s="133" t="s">
        <v>12</v>
      </c>
    </row>
    <row r="7" spans="2:17" ht="15.75" x14ac:dyDescent="0.25">
      <c r="B7" s="155"/>
      <c r="C7" s="155"/>
      <c r="D7" s="155"/>
      <c r="E7" s="155"/>
      <c r="F7" s="155"/>
      <c r="G7" s="155"/>
      <c r="H7" s="129"/>
      <c r="I7" s="156"/>
      <c r="J7" s="151" t="s">
        <v>14</v>
      </c>
      <c r="K7" s="151"/>
      <c r="L7" s="137" t="s">
        <v>15</v>
      </c>
      <c r="M7" s="138"/>
      <c r="N7" s="6" t="s">
        <v>16</v>
      </c>
      <c r="O7" s="134"/>
    </row>
    <row r="8" spans="2:17" ht="15.75" x14ac:dyDescent="0.25">
      <c r="B8" s="83"/>
      <c r="C8" s="83"/>
      <c r="D8" s="88"/>
      <c r="E8" s="88"/>
      <c r="F8" s="88"/>
      <c r="G8" s="88"/>
      <c r="H8" s="88"/>
      <c r="I8" s="92"/>
      <c r="J8" s="4" t="s">
        <v>24</v>
      </c>
      <c r="K8" s="4" t="s">
        <v>1139</v>
      </c>
      <c r="L8" s="5" t="s">
        <v>24</v>
      </c>
      <c r="M8" s="5" t="s">
        <v>1139</v>
      </c>
      <c r="N8" s="6"/>
      <c r="O8" s="85"/>
    </row>
    <row r="9" spans="2:17" x14ac:dyDescent="0.25">
      <c r="B9" s="7">
        <v>2</v>
      </c>
      <c r="C9" s="8" t="s">
        <v>17</v>
      </c>
      <c r="D9" s="9" t="s">
        <v>1143</v>
      </c>
      <c r="E9" s="10" t="s">
        <v>1144</v>
      </c>
      <c r="F9" s="11" t="s">
        <v>1145</v>
      </c>
      <c r="G9" s="12">
        <v>46148</v>
      </c>
      <c r="H9" s="12">
        <v>46161</v>
      </c>
      <c r="I9" s="94">
        <v>225600</v>
      </c>
      <c r="J9" s="95">
        <f t="shared" ref="J9:J15" si="0">I9</f>
        <v>225600</v>
      </c>
      <c r="K9" s="14"/>
      <c r="L9" s="15"/>
      <c r="M9" s="15"/>
      <c r="N9" s="16" t="s">
        <v>89</v>
      </c>
      <c r="O9" s="16"/>
    </row>
    <row r="10" spans="2:17" x14ac:dyDescent="0.25">
      <c r="B10" s="7">
        <v>4</v>
      </c>
      <c r="C10" s="8"/>
      <c r="D10" s="9" t="s">
        <v>1147</v>
      </c>
      <c r="E10" s="10" t="s">
        <v>1148</v>
      </c>
      <c r="F10" s="11" t="s">
        <v>1146</v>
      </c>
      <c r="G10" s="12">
        <v>46148</v>
      </c>
      <c r="H10" s="12">
        <v>46161</v>
      </c>
      <c r="I10" s="94">
        <v>430200</v>
      </c>
      <c r="J10" s="95">
        <v>100000</v>
      </c>
      <c r="K10" s="14"/>
      <c r="L10" s="15"/>
      <c r="M10" s="15"/>
      <c r="N10" s="16" t="s">
        <v>235</v>
      </c>
      <c r="O10" s="16"/>
    </row>
    <row r="11" spans="2:17" x14ac:dyDescent="0.25">
      <c r="B11" s="7">
        <v>5</v>
      </c>
      <c r="C11" s="8"/>
      <c r="D11" s="9" t="s">
        <v>1149</v>
      </c>
      <c r="E11" s="10" t="s">
        <v>1150</v>
      </c>
      <c r="F11" s="11" t="s">
        <v>1146</v>
      </c>
      <c r="G11" s="12">
        <v>46148</v>
      </c>
      <c r="H11" s="12">
        <v>46161</v>
      </c>
      <c r="I11" s="94">
        <v>430200</v>
      </c>
      <c r="J11" s="95">
        <f t="shared" si="0"/>
        <v>430200</v>
      </c>
      <c r="K11" s="14"/>
      <c r="L11" s="15"/>
      <c r="M11" s="15"/>
      <c r="N11" s="16" t="s">
        <v>89</v>
      </c>
      <c r="O11" s="16"/>
    </row>
    <row r="12" spans="2:17" x14ac:dyDescent="0.25">
      <c r="B12" s="7">
        <v>6</v>
      </c>
      <c r="C12" s="8"/>
      <c r="D12" s="9" t="s">
        <v>1151</v>
      </c>
      <c r="E12" s="10" t="s">
        <v>691</v>
      </c>
      <c r="F12" s="11" t="s">
        <v>1146</v>
      </c>
      <c r="G12" s="12">
        <v>46148</v>
      </c>
      <c r="H12" s="12">
        <v>46161</v>
      </c>
      <c r="I12" s="94">
        <v>645300</v>
      </c>
      <c r="J12" s="95">
        <f t="shared" si="0"/>
        <v>645300</v>
      </c>
      <c r="K12" s="14"/>
      <c r="L12" s="15"/>
      <c r="M12" s="15"/>
      <c r="N12" s="16" t="s">
        <v>89</v>
      </c>
      <c r="O12" s="16"/>
    </row>
    <row r="13" spans="2:17" x14ac:dyDescent="0.25">
      <c r="B13" s="7">
        <v>7</v>
      </c>
      <c r="C13" s="8"/>
      <c r="D13" s="9" t="s">
        <v>1152</v>
      </c>
      <c r="E13" s="10" t="s">
        <v>1153</v>
      </c>
      <c r="F13" s="11" t="s">
        <v>1154</v>
      </c>
      <c r="G13" s="12">
        <v>46148</v>
      </c>
      <c r="H13" s="12">
        <v>46161</v>
      </c>
      <c r="I13" s="94">
        <v>543000</v>
      </c>
      <c r="J13" s="95">
        <v>100000</v>
      </c>
      <c r="K13" s="14"/>
      <c r="L13" s="15"/>
      <c r="M13" s="15"/>
      <c r="N13" s="16" t="s">
        <v>235</v>
      </c>
      <c r="O13" s="16"/>
    </row>
    <row r="14" spans="2:17" x14ac:dyDescent="0.25">
      <c r="B14" s="7">
        <v>8</v>
      </c>
      <c r="C14" s="8"/>
      <c r="D14" s="9" t="s">
        <v>1155</v>
      </c>
      <c r="E14" s="10" t="s">
        <v>1156</v>
      </c>
      <c r="F14" s="11" t="s">
        <v>1154</v>
      </c>
      <c r="G14" s="12">
        <v>46148</v>
      </c>
      <c r="H14" s="12">
        <v>46161</v>
      </c>
      <c r="I14" s="94">
        <v>327900</v>
      </c>
      <c r="J14" s="95">
        <f t="shared" si="0"/>
        <v>327900</v>
      </c>
      <c r="K14" s="14"/>
      <c r="L14" s="15"/>
      <c r="M14" s="15"/>
      <c r="N14" s="16" t="s">
        <v>89</v>
      </c>
      <c r="O14" s="16"/>
    </row>
    <row r="15" spans="2:17" x14ac:dyDescent="0.25">
      <c r="B15" s="7">
        <v>10</v>
      </c>
      <c r="C15" s="8"/>
      <c r="D15" s="9" t="s">
        <v>1157</v>
      </c>
      <c r="E15" s="10" t="s">
        <v>1158</v>
      </c>
      <c r="F15" s="11" t="s">
        <v>452</v>
      </c>
      <c r="G15" s="12">
        <v>46148</v>
      </c>
      <c r="H15" s="12">
        <v>46161</v>
      </c>
      <c r="I15" s="94">
        <v>225600</v>
      </c>
      <c r="J15" s="95">
        <f t="shared" si="0"/>
        <v>225600</v>
      </c>
      <c r="K15" s="14"/>
      <c r="L15" s="15"/>
      <c r="M15" s="15"/>
      <c r="N15" s="16" t="s">
        <v>89</v>
      </c>
      <c r="O15" s="16"/>
    </row>
    <row r="16" spans="2:17" x14ac:dyDescent="0.25">
      <c r="B16" s="7">
        <v>11</v>
      </c>
      <c r="C16" s="8"/>
      <c r="D16" s="9" t="s">
        <v>1159</v>
      </c>
      <c r="E16" s="10" t="s">
        <v>241</v>
      </c>
      <c r="F16" s="11" t="s">
        <v>104</v>
      </c>
      <c r="G16" s="12">
        <v>46148</v>
      </c>
      <c r="H16" s="12">
        <v>46161</v>
      </c>
      <c r="I16" s="94">
        <v>327900</v>
      </c>
      <c r="J16" s="95">
        <v>150000</v>
      </c>
      <c r="K16" s="14"/>
      <c r="L16" s="15"/>
      <c r="M16" s="15"/>
      <c r="N16" s="16" t="s">
        <v>235</v>
      </c>
      <c r="O16" s="16"/>
    </row>
    <row r="17" spans="2:15" x14ac:dyDescent="0.25">
      <c r="B17" s="7">
        <v>15</v>
      </c>
      <c r="C17" s="8"/>
      <c r="D17" s="9" t="s">
        <v>1160</v>
      </c>
      <c r="E17" s="10" t="s">
        <v>1047</v>
      </c>
      <c r="F17" s="11" t="s">
        <v>1146</v>
      </c>
      <c r="G17" s="12">
        <v>46074</v>
      </c>
      <c r="H17" s="12">
        <v>46087</v>
      </c>
      <c r="I17" s="94">
        <v>360000</v>
      </c>
      <c r="J17" s="95"/>
      <c r="K17" s="14"/>
      <c r="L17" s="15">
        <f>I17</f>
        <v>360000</v>
      </c>
      <c r="M17" s="15"/>
      <c r="N17" s="16" t="s">
        <v>89</v>
      </c>
      <c r="O17" s="16"/>
    </row>
    <row r="18" spans="2:15" x14ac:dyDescent="0.25">
      <c r="B18" s="7">
        <v>16</v>
      </c>
      <c r="C18" s="8"/>
      <c r="D18" s="9" t="s">
        <v>154</v>
      </c>
      <c r="E18" s="10" t="s">
        <v>155</v>
      </c>
      <c r="F18" s="11" t="s">
        <v>153</v>
      </c>
      <c r="G18" s="12">
        <v>46133</v>
      </c>
      <c r="H18" s="12">
        <v>46146</v>
      </c>
      <c r="I18" s="94">
        <v>450000</v>
      </c>
      <c r="J18" s="95"/>
      <c r="K18" s="14"/>
      <c r="L18" s="15">
        <f t="shared" ref="L18:L21" si="1">I18</f>
        <v>450000</v>
      </c>
      <c r="M18" s="15"/>
      <c r="N18" s="16" t="s">
        <v>89</v>
      </c>
      <c r="O18" s="16"/>
    </row>
    <row r="19" spans="2:15" x14ac:dyDescent="0.25">
      <c r="B19" s="7">
        <v>18</v>
      </c>
      <c r="C19" s="8"/>
      <c r="D19" s="9" t="s">
        <v>1161</v>
      </c>
      <c r="E19" s="10" t="s">
        <v>1150</v>
      </c>
      <c r="F19" s="11" t="s">
        <v>1146</v>
      </c>
      <c r="G19" s="12">
        <v>46148</v>
      </c>
      <c r="H19" s="12">
        <v>46161</v>
      </c>
      <c r="I19" s="94">
        <v>190000</v>
      </c>
      <c r="J19" s="95"/>
      <c r="K19" s="14"/>
      <c r="L19" s="15">
        <f t="shared" si="1"/>
        <v>190000</v>
      </c>
      <c r="M19" s="15"/>
      <c r="N19" s="16" t="s">
        <v>89</v>
      </c>
      <c r="O19" s="16"/>
    </row>
    <row r="20" spans="2:15" x14ac:dyDescent="0.25">
      <c r="B20" s="7">
        <v>19</v>
      </c>
      <c r="C20" s="8"/>
      <c r="D20" s="9" t="s">
        <v>1162</v>
      </c>
      <c r="E20" s="10" t="s">
        <v>691</v>
      </c>
      <c r="F20" s="11" t="s">
        <v>1146</v>
      </c>
      <c r="G20" s="12">
        <v>46148</v>
      </c>
      <c r="H20" s="12">
        <v>46161</v>
      </c>
      <c r="I20" s="94">
        <v>190000</v>
      </c>
      <c r="J20" s="95"/>
      <c r="K20" s="14"/>
      <c r="L20" s="15">
        <f t="shared" si="1"/>
        <v>190000</v>
      </c>
      <c r="M20" s="15"/>
      <c r="N20" s="16" t="s">
        <v>89</v>
      </c>
      <c r="O20" s="16"/>
    </row>
    <row r="21" spans="2:15" x14ac:dyDescent="0.25">
      <c r="B21" s="7">
        <v>22</v>
      </c>
      <c r="C21" s="8"/>
      <c r="D21" s="9" t="s">
        <v>1163</v>
      </c>
      <c r="E21" s="10" t="s">
        <v>1156</v>
      </c>
      <c r="F21" s="11" t="s">
        <v>1154</v>
      </c>
      <c r="G21" s="12">
        <v>46148</v>
      </c>
      <c r="H21" s="12">
        <v>46161</v>
      </c>
      <c r="I21" s="94">
        <v>79200</v>
      </c>
      <c r="J21" s="95"/>
      <c r="K21" s="14"/>
      <c r="L21" s="15">
        <f t="shared" si="1"/>
        <v>79200</v>
      </c>
      <c r="M21" s="15"/>
      <c r="N21" s="16" t="s">
        <v>89</v>
      </c>
      <c r="O21" s="16"/>
    </row>
    <row r="22" spans="2:15" ht="15.75" x14ac:dyDescent="0.25">
      <c r="B22" s="122" t="s">
        <v>12</v>
      </c>
      <c r="C22" s="123"/>
      <c r="D22" s="123"/>
      <c r="E22" s="123"/>
      <c r="F22" s="123"/>
      <c r="G22" s="123"/>
      <c r="H22" s="123"/>
      <c r="I22" s="124"/>
      <c r="J22" s="106">
        <f>SUM(J9:J21)</f>
        <v>2204600</v>
      </c>
      <c r="K22" s="18">
        <f>SUM(K9:K21)</f>
        <v>0</v>
      </c>
      <c r="L22" s="19">
        <f>SUM(L9:L21)</f>
        <v>1269200</v>
      </c>
      <c r="M22" s="89">
        <f>SUM(M9:M21)</f>
        <v>0</v>
      </c>
      <c r="N22" s="20"/>
      <c r="O22" s="21">
        <f>SUM(J22+K22+L22+M22)</f>
        <v>3473800</v>
      </c>
    </row>
    <row r="23" spans="2:15" ht="15.75" x14ac:dyDescent="0.25">
      <c r="B23" s="141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</row>
    <row r="24" spans="2:15" x14ac:dyDescent="0.25">
      <c r="B24" s="7">
        <v>1</v>
      </c>
      <c r="C24" s="22" t="s">
        <v>21</v>
      </c>
      <c r="D24" s="9" t="s">
        <v>1165</v>
      </c>
      <c r="E24" s="23" t="s">
        <v>1166</v>
      </c>
      <c r="F24" s="24" t="s">
        <v>171</v>
      </c>
      <c r="G24" s="25">
        <v>46147</v>
      </c>
      <c r="H24" s="96">
        <v>46160</v>
      </c>
      <c r="I24" s="97">
        <v>430200</v>
      </c>
      <c r="J24" s="98">
        <f>I24</f>
        <v>430200</v>
      </c>
      <c r="K24" s="14"/>
      <c r="L24" s="15"/>
      <c r="M24" s="15"/>
      <c r="N24" s="16" t="s">
        <v>89</v>
      </c>
      <c r="O24" s="16"/>
    </row>
    <row r="25" spans="2:15" x14ac:dyDescent="0.25">
      <c r="B25" s="7">
        <v>2</v>
      </c>
      <c r="C25" s="22"/>
      <c r="D25" s="9" t="s">
        <v>1167</v>
      </c>
      <c r="E25" s="23" t="s">
        <v>1168</v>
      </c>
      <c r="F25" s="24" t="s">
        <v>171</v>
      </c>
      <c r="G25" s="25">
        <v>46147</v>
      </c>
      <c r="H25" s="96">
        <v>46160</v>
      </c>
      <c r="I25" s="97">
        <v>543000</v>
      </c>
      <c r="J25" s="98">
        <f t="shared" ref="J25:J30" si="2">I25</f>
        <v>543000</v>
      </c>
      <c r="K25" s="14"/>
      <c r="L25" s="15"/>
      <c r="M25" s="15"/>
      <c r="N25" s="16" t="s">
        <v>89</v>
      </c>
      <c r="O25" s="16"/>
    </row>
    <row r="26" spans="2:15" x14ac:dyDescent="0.25">
      <c r="B26" s="7">
        <v>3</v>
      </c>
      <c r="C26" s="22"/>
      <c r="D26" s="9" t="s">
        <v>1169</v>
      </c>
      <c r="E26" s="23" t="s">
        <v>1170</v>
      </c>
      <c r="F26" s="24" t="s">
        <v>1171</v>
      </c>
      <c r="G26" s="25">
        <v>46147</v>
      </c>
      <c r="H26" s="96">
        <v>46160</v>
      </c>
      <c r="I26" s="97">
        <v>430200</v>
      </c>
      <c r="J26" s="98">
        <f t="shared" si="2"/>
        <v>430200</v>
      </c>
      <c r="K26" s="14"/>
      <c r="L26" s="15"/>
      <c r="M26" s="15"/>
      <c r="N26" s="16" t="s">
        <v>89</v>
      </c>
      <c r="O26" s="16"/>
    </row>
    <row r="27" spans="2:15" x14ac:dyDescent="0.25">
      <c r="B27" s="7">
        <v>4</v>
      </c>
      <c r="C27" s="22"/>
      <c r="D27" s="9" t="s">
        <v>1172</v>
      </c>
      <c r="E27" s="23" t="s">
        <v>1173</v>
      </c>
      <c r="F27" s="24" t="s">
        <v>1174</v>
      </c>
      <c r="G27" s="25">
        <v>46148</v>
      </c>
      <c r="H27" s="96">
        <v>46161</v>
      </c>
      <c r="I27" s="97">
        <v>112800</v>
      </c>
      <c r="J27" s="98">
        <f t="shared" si="2"/>
        <v>112800</v>
      </c>
      <c r="K27" s="14"/>
      <c r="L27" s="15"/>
      <c r="M27" s="15"/>
      <c r="N27" s="16" t="s">
        <v>89</v>
      </c>
      <c r="O27" s="16"/>
    </row>
    <row r="28" spans="2:15" x14ac:dyDescent="0.25">
      <c r="B28" s="7">
        <v>5</v>
      </c>
      <c r="C28" s="22"/>
      <c r="D28" s="9" t="s">
        <v>1175</v>
      </c>
      <c r="E28" s="23" t="s">
        <v>1176</v>
      </c>
      <c r="F28" s="24" t="s">
        <v>1174</v>
      </c>
      <c r="G28" s="25">
        <v>46148</v>
      </c>
      <c r="H28" s="96">
        <v>46161</v>
      </c>
      <c r="I28" s="97">
        <v>338400</v>
      </c>
      <c r="J28" s="98">
        <f t="shared" si="2"/>
        <v>338400</v>
      </c>
      <c r="K28" s="14"/>
      <c r="L28" s="15"/>
      <c r="M28" s="15"/>
      <c r="N28" s="16" t="s">
        <v>89</v>
      </c>
      <c r="O28" s="16"/>
    </row>
    <row r="29" spans="2:15" x14ac:dyDescent="0.25">
      <c r="B29" s="7">
        <v>6</v>
      </c>
      <c r="C29" s="22"/>
      <c r="D29" s="9" t="s">
        <v>1177</v>
      </c>
      <c r="E29" s="23" t="s">
        <v>1178</v>
      </c>
      <c r="F29" s="24" t="s">
        <v>1179</v>
      </c>
      <c r="G29" s="25">
        <v>46148</v>
      </c>
      <c r="H29" s="96">
        <v>46161</v>
      </c>
      <c r="I29" s="97">
        <v>215100</v>
      </c>
      <c r="J29" s="98">
        <f t="shared" si="2"/>
        <v>215100</v>
      </c>
      <c r="K29" s="14"/>
      <c r="L29" s="15"/>
      <c r="M29" s="15"/>
      <c r="N29" s="16" t="s">
        <v>89</v>
      </c>
      <c r="O29" s="16"/>
    </row>
    <row r="30" spans="2:15" x14ac:dyDescent="0.25">
      <c r="B30" s="7">
        <v>7</v>
      </c>
      <c r="C30" s="22"/>
      <c r="D30" s="9" t="s">
        <v>1180</v>
      </c>
      <c r="E30" s="23" t="s">
        <v>1181</v>
      </c>
      <c r="F30" s="24" t="s">
        <v>251</v>
      </c>
      <c r="G30" s="25">
        <v>46148</v>
      </c>
      <c r="H30" s="96">
        <v>46161</v>
      </c>
      <c r="I30" s="97">
        <v>543000</v>
      </c>
      <c r="J30" s="98">
        <f t="shared" si="2"/>
        <v>543000</v>
      </c>
      <c r="K30" s="14"/>
      <c r="L30" s="15"/>
      <c r="M30" s="15"/>
      <c r="N30" s="16" t="s">
        <v>89</v>
      </c>
      <c r="O30" s="16"/>
    </row>
    <row r="31" spans="2:15" x14ac:dyDescent="0.25">
      <c r="B31" s="7">
        <v>8</v>
      </c>
      <c r="C31" s="22"/>
      <c r="D31" s="9" t="s">
        <v>1182</v>
      </c>
      <c r="E31" s="23" t="s">
        <v>1181</v>
      </c>
      <c r="F31" s="24" t="s">
        <v>251</v>
      </c>
      <c r="G31" s="25">
        <v>46148</v>
      </c>
      <c r="H31" s="96">
        <v>46161</v>
      </c>
      <c r="I31" s="97">
        <v>34278</v>
      </c>
      <c r="J31" s="98"/>
      <c r="K31" s="14"/>
      <c r="L31" s="15">
        <f>I31</f>
        <v>34278</v>
      </c>
      <c r="M31" s="15"/>
      <c r="N31" s="16" t="s">
        <v>89</v>
      </c>
      <c r="O31" s="16"/>
    </row>
    <row r="32" spans="2:15" x14ac:dyDescent="0.25">
      <c r="B32" s="7">
        <v>9</v>
      </c>
      <c r="C32" s="22"/>
      <c r="D32" s="9" t="s">
        <v>1183</v>
      </c>
      <c r="E32" s="23" t="s">
        <v>1173</v>
      </c>
      <c r="F32" s="24" t="s">
        <v>1174</v>
      </c>
      <c r="G32" s="25">
        <v>46148</v>
      </c>
      <c r="H32" s="96">
        <v>46161</v>
      </c>
      <c r="I32" s="97">
        <v>72000</v>
      </c>
      <c r="J32" s="98"/>
      <c r="K32" s="14"/>
      <c r="L32" s="15">
        <f t="shared" ref="L32:L33" si="3">I32</f>
        <v>72000</v>
      </c>
      <c r="M32" s="15"/>
      <c r="N32" s="16" t="s">
        <v>89</v>
      </c>
      <c r="O32" s="16"/>
    </row>
    <row r="33" spans="2:15" x14ac:dyDescent="0.25">
      <c r="B33" s="7">
        <v>10</v>
      </c>
      <c r="C33" s="22"/>
      <c r="D33" s="9" t="s">
        <v>1184</v>
      </c>
      <c r="E33" s="23" t="s">
        <v>1185</v>
      </c>
      <c r="F33" s="24" t="s">
        <v>251</v>
      </c>
      <c r="G33" s="25">
        <v>46148</v>
      </c>
      <c r="H33" s="96">
        <v>46161</v>
      </c>
      <c r="I33" s="97">
        <v>348000</v>
      </c>
      <c r="J33" s="98"/>
      <c r="K33" s="14"/>
      <c r="L33" s="15">
        <f t="shared" si="3"/>
        <v>348000</v>
      </c>
      <c r="M33" s="15"/>
      <c r="N33" s="16" t="s">
        <v>89</v>
      </c>
      <c r="O33" s="16"/>
    </row>
    <row r="34" spans="2:15" ht="15.75" x14ac:dyDescent="0.25">
      <c r="B34" s="143" t="s">
        <v>12</v>
      </c>
      <c r="C34" s="144"/>
      <c r="D34" s="145"/>
      <c r="E34" s="145"/>
      <c r="F34" s="145"/>
      <c r="G34" s="145"/>
      <c r="H34" s="145"/>
      <c r="I34" s="146"/>
      <c r="J34" s="110">
        <f>SUM(J24:J33)</f>
        <v>2612700</v>
      </c>
      <c r="K34" s="18">
        <f>SUM(K24:K33)</f>
        <v>0</v>
      </c>
      <c r="L34" s="19">
        <f>SUM(L24:L33)</f>
        <v>454278</v>
      </c>
      <c r="M34" s="19">
        <f>SUM(M24:M33)</f>
        <v>0</v>
      </c>
      <c r="N34" s="28"/>
      <c r="O34" s="29">
        <f>SUM(J34+K34+L34+M34)</f>
        <v>3066978</v>
      </c>
    </row>
    <row r="35" spans="2:15" ht="15.75" x14ac:dyDescent="0.25">
      <c r="B35" s="147"/>
      <c r="C35" s="148"/>
      <c r="D35" s="149"/>
      <c r="E35" s="149"/>
      <c r="F35" s="149"/>
      <c r="G35" s="149"/>
      <c r="H35" s="149"/>
      <c r="I35" s="149"/>
      <c r="J35" s="148"/>
      <c r="K35" s="148"/>
      <c r="L35" s="148"/>
      <c r="M35" s="148"/>
      <c r="N35" s="148"/>
      <c r="O35" s="148"/>
    </row>
    <row r="36" spans="2:15" ht="15.75" x14ac:dyDescent="0.25">
      <c r="B36" s="67">
        <v>1</v>
      </c>
      <c r="C36" s="31" t="s">
        <v>22</v>
      </c>
      <c r="D36" s="55" t="s">
        <v>1164</v>
      </c>
      <c r="E36" s="71" t="s">
        <v>1186</v>
      </c>
      <c r="F36" s="71" t="s">
        <v>72</v>
      </c>
      <c r="G36" s="68">
        <v>46148</v>
      </c>
      <c r="H36" s="68">
        <v>46161</v>
      </c>
      <c r="I36" s="69">
        <v>7069500</v>
      </c>
      <c r="J36" s="81">
        <f>I36</f>
        <v>7069500</v>
      </c>
      <c r="K36" s="82"/>
      <c r="L36" s="79"/>
      <c r="M36" s="79"/>
      <c r="N36" s="16" t="s">
        <v>89</v>
      </c>
      <c r="O36" s="67"/>
    </row>
    <row r="37" spans="2:15" ht="15.75" x14ac:dyDescent="0.25">
      <c r="B37" s="67">
        <v>2</v>
      </c>
      <c r="C37" s="31"/>
      <c r="D37" s="55" t="s">
        <v>1187</v>
      </c>
      <c r="E37" s="71" t="s">
        <v>1188</v>
      </c>
      <c r="F37" s="71" t="s">
        <v>322</v>
      </c>
      <c r="G37" s="68">
        <v>46148</v>
      </c>
      <c r="H37" s="68">
        <v>46161</v>
      </c>
      <c r="I37" s="69">
        <v>327900</v>
      </c>
      <c r="J37" s="81">
        <f t="shared" ref="J37:J39" si="4">I37</f>
        <v>327900</v>
      </c>
      <c r="K37" s="82"/>
      <c r="L37" s="79"/>
      <c r="M37" s="79"/>
      <c r="N37" s="16" t="s">
        <v>89</v>
      </c>
      <c r="O37" s="67"/>
    </row>
    <row r="38" spans="2:15" ht="15.75" x14ac:dyDescent="0.25">
      <c r="B38" s="67">
        <v>3</v>
      </c>
      <c r="C38" s="31"/>
      <c r="D38" s="55" t="s">
        <v>1189</v>
      </c>
      <c r="E38" s="71" t="s">
        <v>597</v>
      </c>
      <c r="F38" s="71" t="s">
        <v>1190</v>
      </c>
      <c r="G38" s="68">
        <v>46148</v>
      </c>
      <c r="H38" s="68">
        <v>46161</v>
      </c>
      <c r="I38" s="69">
        <v>327900</v>
      </c>
      <c r="J38" s="81">
        <f t="shared" si="4"/>
        <v>327900</v>
      </c>
      <c r="K38" s="82"/>
      <c r="L38" s="79"/>
      <c r="M38" s="79"/>
      <c r="N38" s="16" t="s">
        <v>89</v>
      </c>
      <c r="O38" s="67"/>
    </row>
    <row r="39" spans="2:15" ht="15.75" x14ac:dyDescent="0.25">
      <c r="B39" s="67">
        <v>4</v>
      </c>
      <c r="C39" s="31"/>
      <c r="D39" s="55" t="s">
        <v>331</v>
      </c>
      <c r="E39" s="71" t="s">
        <v>1191</v>
      </c>
      <c r="F39" s="71" t="s">
        <v>1192</v>
      </c>
      <c r="G39" s="68">
        <v>46148</v>
      </c>
      <c r="H39" s="68">
        <v>46161</v>
      </c>
      <c r="I39" s="69">
        <v>1413900</v>
      </c>
      <c r="J39" s="81">
        <f t="shared" si="4"/>
        <v>1413900</v>
      </c>
      <c r="K39" s="82"/>
      <c r="L39" s="79"/>
      <c r="M39" s="79"/>
      <c r="N39" s="16" t="s">
        <v>89</v>
      </c>
      <c r="O39" s="67"/>
    </row>
    <row r="40" spans="2:15" ht="15.75" x14ac:dyDescent="0.25">
      <c r="B40" s="67">
        <v>5</v>
      </c>
      <c r="C40" s="31"/>
      <c r="D40" s="55" t="s">
        <v>1193</v>
      </c>
      <c r="E40" s="71" t="s">
        <v>319</v>
      </c>
      <c r="F40" s="71" t="s">
        <v>72</v>
      </c>
      <c r="G40" s="68">
        <v>46148</v>
      </c>
      <c r="H40" s="68">
        <v>46161</v>
      </c>
      <c r="I40" s="69">
        <v>209000</v>
      </c>
      <c r="J40" s="81"/>
      <c r="K40" s="82"/>
      <c r="L40" s="70">
        <f>I40</f>
        <v>209000</v>
      </c>
      <c r="M40" s="79"/>
      <c r="N40" s="16" t="s">
        <v>89</v>
      </c>
      <c r="O40" s="67"/>
    </row>
    <row r="41" spans="2:15" ht="15.75" x14ac:dyDescent="0.25">
      <c r="B41" s="67">
        <v>6</v>
      </c>
      <c r="C41" s="31"/>
      <c r="D41" s="55" t="s">
        <v>1194</v>
      </c>
      <c r="E41" s="71" t="s">
        <v>253</v>
      </c>
      <c r="F41" s="71" t="s">
        <v>254</v>
      </c>
      <c r="G41" s="68">
        <v>46148</v>
      </c>
      <c r="H41" s="68">
        <v>46161</v>
      </c>
      <c r="I41" s="69">
        <v>342780</v>
      </c>
      <c r="J41" s="81"/>
      <c r="K41" s="82"/>
      <c r="L41" s="70">
        <f t="shared" ref="L41:L42" si="5">I41</f>
        <v>342780</v>
      </c>
      <c r="M41" s="79"/>
      <c r="N41" s="16" t="s">
        <v>89</v>
      </c>
      <c r="O41" s="67"/>
    </row>
    <row r="42" spans="2:15" ht="15.75" x14ac:dyDescent="0.25">
      <c r="B42" s="67">
        <v>7</v>
      </c>
      <c r="C42" s="31"/>
      <c r="D42" s="55" t="s">
        <v>1195</v>
      </c>
      <c r="E42" s="71" t="s">
        <v>1186</v>
      </c>
      <c r="F42" s="71" t="s">
        <v>72</v>
      </c>
      <c r="G42" s="68">
        <v>46148</v>
      </c>
      <c r="H42" s="68">
        <v>46161</v>
      </c>
      <c r="I42" s="69">
        <v>440000</v>
      </c>
      <c r="J42" s="81"/>
      <c r="K42" s="82"/>
      <c r="L42" s="70">
        <f t="shared" si="5"/>
        <v>440000</v>
      </c>
      <c r="M42" s="79"/>
      <c r="N42" s="16" t="s">
        <v>89</v>
      </c>
      <c r="O42" s="67"/>
    </row>
    <row r="43" spans="2:15" ht="15.75" x14ac:dyDescent="0.25">
      <c r="B43" s="157" t="s">
        <v>12</v>
      </c>
      <c r="C43" s="158"/>
      <c r="D43" s="158"/>
      <c r="E43" s="158"/>
      <c r="F43" s="158"/>
      <c r="G43" s="158"/>
      <c r="H43" s="158"/>
      <c r="I43" s="159"/>
      <c r="J43" s="107">
        <f>SUM(J36:J42)</f>
        <v>9139200</v>
      </c>
      <c r="K43" s="60">
        <f>SUM(K36:K42)</f>
        <v>0</v>
      </c>
      <c r="L43" s="61">
        <f>SUM(L36:L42)</f>
        <v>991780</v>
      </c>
      <c r="M43" s="61">
        <f>SUM(M36:M42)</f>
        <v>0</v>
      </c>
      <c r="N43" s="62"/>
      <c r="O43" s="63">
        <f>SUM(J43+K43+L43+M43)</f>
        <v>10130980</v>
      </c>
    </row>
    <row r="44" spans="2:15" x14ac:dyDescent="0.25">
      <c r="D44" s="42"/>
      <c r="I44" s="43"/>
      <c r="J44" s="43"/>
    </row>
    <row r="45" spans="2:15" x14ac:dyDescent="0.25">
      <c r="D45" s="42"/>
      <c r="I45" s="43"/>
      <c r="J45" s="43"/>
    </row>
    <row r="46" spans="2:15" ht="15.75" x14ac:dyDescent="0.25">
      <c r="D46" s="42"/>
      <c r="G46" s="150" t="s">
        <v>23</v>
      </c>
      <c r="H46" s="150"/>
      <c r="I46" s="150"/>
      <c r="J46" s="108">
        <f>SUM(J43+J34+J22)</f>
        <v>13956500</v>
      </c>
      <c r="K46" s="18">
        <f>SUM(K43+K34+K22)</f>
        <v>0</v>
      </c>
      <c r="L46" s="40">
        <f>SUM(L43+L34+L22)</f>
        <v>2715258</v>
      </c>
      <c r="M46" s="40"/>
      <c r="N46" s="28"/>
      <c r="O46" s="21">
        <f>SUM(J46+K46+L46+M46)</f>
        <v>16671758</v>
      </c>
    </row>
    <row r="47" spans="2:15" x14ac:dyDescent="0.25">
      <c r="D47" s="42"/>
      <c r="I47" s="43"/>
      <c r="J47" s="43"/>
    </row>
    <row r="48" spans="2:15" x14ac:dyDescent="0.25">
      <c r="B48" s="160" t="s">
        <v>24</v>
      </c>
      <c r="C48" s="160"/>
      <c r="D48" s="160"/>
      <c r="I48" s="43"/>
      <c r="J48" s="43"/>
    </row>
    <row r="49" spans="2:15" ht="15.75" x14ac:dyDescent="0.25">
      <c r="B49" s="154" t="s">
        <v>3</v>
      </c>
      <c r="C49" s="161" t="s">
        <v>25</v>
      </c>
      <c r="D49" s="154" t="s">
        <v>5</v>
      </c>
      <c r="E49" s="154" t="s">
        <v>6</v>
      </c>
      <c r="F49" s="154" t="s">
        <v>7</v>
      </c>
      <c r="G49" s="154" t="s">
        <v>8</v>
      </c>
      <c r="H49" s="154" t="s">
        <v>9</v>
      </c>
      <c r="I49" s="161" t="s">
        <v>26</v>
      </c>
      <c r="J49" s="122" t="s">
        <v>11</v>
      </c>
      <c r="K49" s="123"/>
      <c r="L49" s="123"/>
      <c r="M49" s="123"/>
      <c r="N49" s="124"/>
      <c r="O49" s="133" t="s">
        <v>12</v>
      </c>
    </row>
    <row r="50" spans="2:15" ht="15.75" x14ac:dyDescent="0.25">
      <c r="B50" s="155"/>
      <c r="C50" s="162"/>
      <c r="D50" s="155"/>
      <c r="E50" s="155"/>
      <c r="F50" s="155"/>
      <c r="G50" s="155"/>
      <c r="H50" s="155"/>
      <c r="I50" s="162"/>
      <c r="J50" s="135" t="s">
        <v>14</v>
      </c>
      <c r="K50" s="136"/>
      <c r="L50" s="137" t="s">
        <v>15</v>
      </c>
      <c r="M50" s="138"/>
      <c r="N50" s="6" t="s">
        <v>16</v>
      </c>
      <c r="O50" s="134"/>
    </row>
    <row r="51" spans="2:15" ht="15.75" x14ac:dyDescent="0.25">
      <c r="B51" s="83"/>
      <c r="C51" s="84"/>
      <c r="D51" s="83"/>
      <c r="E51" s="83"/>
      <c r="F51" s="83"/>
      <c r="G51" s="83"/>
      <c r="H51" s="83"/>
      <c r="I51" s="84"/>
      <c r="J51" s="101" t="s">
        <v>24</v>
      </c>
      <c r="K51" s="4" t="s">
        <v>1139</v>
      </c>
      <c r="L51" s="5" t="s">
        <v>24</v>
      </c>
      <c r="M51" s="5" t="s">
        <v>1139</v>
      </c>
      <c r="N51" s="6"/>
      <c r="O51" s="85"/>
    </row>
    <row r="52" spans="2:15" ht="15" customHeight="1" x14ac:dyDescent="0.25">
      <c r="B52" s="27">
        <v>1</v>
      </c>
      <c r="C52" s="31" t="s">
        <v>234</v>
      </c>
      <c r="D52" s="45" t="s">
        <v>1196</v>
      </c>
      <c r="E52" s="46" t="s">
        <v>1197</v>
      </c>
      <c r="F52" s="46" t="s">
        <v>1198</v>
      </c>
      <c r="G52" s="47">
        <v>46161</v>
      </c>
      <c r="H52" s="47"/>
      <c r="I52" s="48">
        <v>430200</v>
      </c>
      <c r="J52" s="98">
        <f>I52</f>
        <v>430200</v>
      </c>
      <c r="K52" s="49"/>
      <c r="L52" s="50"/>
      <c r="M52" s="50"/>
      <c r="N52" s="16"/>
      <c r="O52" s="17"/>
    </row>
    <row r="53" spans="2:15" ht="15" customHeight="1" x14ac:dyDescent="0.25">
      <c r="B53" s="27">
        <v>2</v>
      </c>
      <c r="C53" s="31" t="s">
        <v>234</v>
      </c>
      <c r="D53" s="51" t="s">
        <v>1199</v>
      </c>
      <c r="E53" s="51" t="s">
        <v>1197</v>
      </c>
      <c r="F53" s="17" t="s">
        <v>1198</v>
      </c>
      <c r="G53" s="47">
        <v>46161</v>
      </c>
      <c r="H53" s="52"/>
      <c r="I53" s="16">
        <v>176112</v>
      </c>
      <c r="J53" s="98"/>
      <c r="K53" s="49"/>
      <c r="L53" s="15">
        <f>I53</f>
        <v>176112</v>
      </c>
      <c r="M53" s="50"/>
      <c r="N53" s="16"/>
      <c r="O53" s="17"/>
    </row>
    <row r="54" spans="2:15" ht="15" customHeight="1" x14ac:dyDescent="0.25">
      <c r="B54" s="27">
        <v>3</v>
      </c>
      <c r="C54" s="31" t="s">
        <v>234</v>
      </c>
      <c r="D54" s="51" t="s">
        <v>1200</v>
      </c>
      <c r="E54" s="51" t="s">
        <v>259</v>
      </c>
      <c r="F54" s="17" t="s">
        <v>230</v>
      </c>
      <c r="G54" s="47">
        <v>46161</v>
      </c>
      <c r="H54" s="52"/>
      <c r="I54" s="16">
        <v>328700</v>
      </c>
      <c r="J54" s="98"/>
      <c r="K54" s="49">
        <v>328700</v>
      </c>
      <c r="L54" s="50"/>
      <c r="M54" s="50"/>
      <c r="N54" s="16"/>
      <c r="O54" s="17"/>
    </row>
    <row r="55" spans="2:15" ht="15" customHeight="1" x14ac:dyDescent="0.25">
      <c r="B55" s="27">
        <v>4</v>
      </c>
      <c r="C55" s="31" t="s">
        <v>234</v>
      </c>
      <c r="D55" s="51" t="s">
        <v>1201</v>
      </c>
      <c r="E55" s="51" t="s">
        <v>1202</v>
      </c>
      <c r="F55" s="17" t="s">
        <v>168</v>
      </c>
      <c r="G55" s="47">
        <v>46161</v>
      </c>
      <c r="H55" s="52"/>
      <c r="I55" s="16">
        <v>1063000</v>
      </c>
      <c r="J55" s="98">
        <f t="shared" ref="J55" si="6">I55</f>
        <v>1063000</v>
      </c>
      <c r="K55" s="49"/>
      <c r="L55" s="50"/>
      <c r="M55" s="50"/>
      <c r="N55" s="16"/>
      <c r="O55" s="17"/>
    </row>
    <row r="56" spans="2:15" ht="15" customHeight="1" x14ac:dyDescent="0.25">
      <c r="B56" s="27">
        <v>5</v>
      </c>
      <c r="C56" s="8" t="s">
        <v>87</v>
      </c>
      <c r="D56" s="51" t="s">
        <v>1203</v>
      </c>
      <c r="E56" s="51" t="s">
        <v>265</v>
      </c>
      <c r="F56" s="17" t="s">
        <v>266</v>
      </c>
      <c r="G56" s="47">
        <v>46161</v>
      </c>
      <c r="H56" s="52"/>
      <c r="I56" s="16">
        <v>215100</v>
      </c>
      <c r="J56" s="100">
        <f>I56</f>
        <v>215100</v>
      </c>
      <c r="K56" s="49"/>
      <c r="L56" s="50"/>
      <c r="M56" s="50"/>
      <c r="N56" s="16"/>
      <c r="O56" s="17"/>
    </row>
    <row r="57" spans="2:15" ht="15" customHeight="1" x14ac:dyDescent="0.25">
      <c r="B57" s="27">
        <v>6</v>
      </c>
      <c r="C57" s="8" t="s">
        <v>87</v>
      </c>
      <c r="D57" s="51" t="s">
        <v>1204</v>
      </c>
      <c r="E57" s="51" t="s">
        <v>270</v>
      </c>
      <c r="F57" s="17" t="s">
        <v>271</v>
      </c>
      <c r="G57" s="47">
        <v>46161</v>
      </c>
      <c r="H57" s="52"/>
      <c r="I57" s="16">
        <v>666600</v>
      </c>
      <c r="J57" s="100">
        <f t="shared" ref="J57:J60" si="7">I57</f>
        <v>666600</v>
      </c>
      <c r="K57" s="49"/>
      <c r="L57" s="15"/>
      <c r="M57" s="50"/>
      <c r="N57" s="16"/>
      <c r="O57" s="17"/>
    </row>
    <row r="58" spans="2:15" ht="15" customHeight="1" x14ac:dyDescent="0.25">
      <c r="B58" s="27">
        <v>8</v>
      </c>
      <c r="C58" s="8" t="s">
        <v>87</v>
      </c>
      <c r="D58" s="51" t="s">
        <v>1205</v>
      </c>
      <c r="E58" s="51" t="s">
        <v>273</v>
      </c>
      <c r="F58" s="17" t="s">
        <v>725</v>
      </c>
      <c r="G58" s="47">
        <v>46161</v>
      </c>
      <c r="H58" s="52"/>
      <c r="I58" s="16">
        <v>555550</v>
      </c>
      <c r="J58" s="100">
        <f t="shared" si="7"/>
        <v>555550</v>
      </c>
      <c r="K58" s="49"/>
      <c r="L58" s="50"/>
      <c r="M58" s="50"/>
      <c r="N58" s="16"/>
      <c r="O58" s="17"/>
    </row>
    <row r="59" spans="2:15" ht="15" customHeight="1" x14ac:dyDescent="0.25">
      <c r="B59" s="27">
        <v>9</v>
      </c>
      <c r="C59" s="8" t="s">
        <v>87</v>
      </c>
      <c r="D59" s="51" t="s">
        <v>1206</v>
      </c>
      <c r="E59" s="51" t="s">
        <v>273</v>
      </c>
      <c r="F59" s="17" t="s">
        <v>725</v>
      </c>
      <c r="G59" s="47">
        <v>46161</v>
      </c>
      <c r="H59" s="52"/>
      <c r="I59" s="16">
        <v>69498</v>
      </c>
      <c r="J59" s="100"/>
      <c r="K59" s="49"/>
      <c r="L59" s="15">
        <f>I59</f>
        <v>69498</v>
      </c>
      <c r="M59" s="50"/>
      <c r="N59" s="16"/>
      <c r="O59" s="17"/>
    </row>
    <row r="60" spans="2:15" ht="15" customHeight="1" x14ac:dyDescent="0.25">
      <c r="B60" s="27">
        <v>10</v>
      </c>
      <c r="C60" s="8" t="s">
        <v>87</v>
      </c>
      <c r="D60" s="51" t="s">
        <v>1207</v>
      </c>
      <c r="E60" s="51" t="s">
        <v>1208</v>
      </c>
      <c r="F60" s="17" t="s">
        <v>271</v>
      </c>
      <c r="G60" s="47">
        <v>46161</v>
      </c>
      <c r="H60" s="52"/>
      <c r="I60" s="16">
        <v>2729500</v>
      </c>
      <c r="J60" s="100">
        <f t="shared" si="7"/>
        <v>2729500</v>
      </c>
      <c r="K60" s="49"/>
      <c r="L60" s="15"/>
      <c r="M60" s="50"/>
      <c r="N60" s="16"/>
      <c r="O60" s="17"/>
    </row>
    <row r="61" spans="2:15" ht="15.75" x14ac:dyDescent="0.25">
      <c r="B61" s="122" t="s">
        <v>27</v>
      </c>
      <c r="C61" s="123"/>
      <c r="D61" s="123"/>
      <c r="E61" s="123"/>
      <c r="F61" s="123"/>
      <c r="G61" s="123"/>
      <c r="H61" s="123"/>
      <c r="I61" s="124"/>
      <c r="J61" s="106">
        <f>SUM(J52:J60)</f>
        <v>5659950</v>
      </c>
      <c r="K61" s="39">
        <f>SUM(K52:K60)</f>
        <v>328700</v>
      </c>
      <c r="L61" s="40">
        <f>SUM(L52:L60)</f>
        <v>245610</v>
      </c>
      <c r="M61" s="40"/>
      <c r="N61" s="28"/>
      <c r="O61" s="41">
        <f>SUM(J61+K61+L61+M61)</f>
        <v>6234260</v>
      </c>
    </row>
    <row r="62" spans="2:15" ht="15.75" x14ac:dyDescent="0.25">
      <c r="B62" s="139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</row>
    <row r="63" spans="2:15" x14ac:dyDescent="0.25">
      <c r="B63" s="55">
        <v>1</v>
      </c>
      <c r="C63" s="8"/>
      <c r="D63" s="51"/>
      <c r="E63" s="51"/>
      <c r="F63" s="17"/>
      <c r="G63" s="47"/>
      <c r="H63" s="52"/>
      <c r="I63" s="16"/>
      <c r="J63" s="100"/>
      <c r="K63" s="49"/>
      <c r="L63" s="50"/>
      <c r="M63" s="50"/>
      <c r="N63" s="16"/>
      <c r="O63" s="17"/>
    </row>
    <row r="64" spans="2:15" x14ac:dyDescent="0.25">
      <c r="B64" s="55">
        <v>2</v>
      </c>
      <c r="C64" s="8"/>
      <c r="D64" s="51"/>
      <c r="E64" s="51"/>
      <c r="F64" s="17"/>
      <c r="G64" s="47"/>
      <c r="H64" s="52"/>
      <c r="I64" s="16"/>
      <c r="J64" s="100"/>
      <c r="K64" s="49"/>
      <c r="L64" s="15"/>
      <c r="M64" s="15"/>
      <c r="N64" s="16"/>
      <c r="O64" s="17"/>
    </row>
    <row r="65" spans="1:15" ht="15.75" x14ac:dyDescent="0.25">
      <c r="A65" t="s">
        <v>90</v>
      </c>
      <c r="B65" s="122" t="s">
        <v>27</v>
      </c>
      <c r="C65" s="123"/>
      <c r="D65" s="123"/>
      <c r="E65" s="123"/>
      <c r="F65" s="123"/>
      <c r="G65" s="123"/>
      <c r="H65" s="123"/>
      <c r="I65" s="124"/>
      <c r="J65" s="109">
        <f>SUM(J63:J64)</f>
        <v>0</v>
      </c>
      <c r="K65" s="39">
        <f>SUM(K63:K64)</f>
        <v>0</v>
      </c>
      <c r="L65" s="40">
        <f>SUM(L63:L64)</f>
        <v>0</v>
      </c>
      <c r="M65" s="40"/>
      <c r="N65" s="28"/>
      <c r="O65" s="41">
        <f>SUM(J65+K65+L65+M65)</f>
        <v>0</v>
      </c>
    </row>
    <row r="66" spans="1:15" x14ac:dyDescent="0.25">
      <c r="D66" s="42"/>
      <c r="I66" s="43"/>
      <c r="J66" s="43"/>
    </row>
    <row r="67" spans="1:15" ht="15.75" x14ac:dyDescent="0.25">
      <c r="D67" s="42"/>
      <c r="H67" s="122" t="s">
        <v>28</v>
      </c>
      <c r="I67" s="124"/>
      <c r="J67" s="106">
        <f>SUM(J65+J61)</f>
        <v>5659950</v>
      </c>
      <c r="K67" s="39">
        <f>SUM(K65+K61)</f>
        <v>328700</v>
      </c>
      <c r="L67" s="40">
        <f>SUM(L65+L61)</f>
        <v>245610</v>
      </c>
      <c r="M67" s="40">
        <v>0</v>
      </c>
      <c r="N67" s="28"/>
      <c r="O67" s="99">
        <f>SUM(J67+K67+L67+M67)</f>
        <v>6234260</v>
      </c>
    </row>
    <row r="68" spans="1:15" ht="15.75" x14ac:dyDescent="0.25">
      <c r="D68" s="42"/>
      <c r="H68" s="87"/>
      <c r="I68" s="87"/>
      <c r="J68" s="87"/>
      <c r="K68" s="102"/>
      <c r="L68" s="102"/>
      <c r="M68" s="102"/>
      <c r="N68" s="103"/>
      <c r="O68" s="104"/>
    </row>
    <row r="69" spans="1:15" ht="15.75" x14ac:dyDescent="0.25">
      <c r="D69" s="42"/>
      <c r="H69" s="125" t="s">
        <v>29</v>
      </c>
      <c r="I69" s="126"/>
      <c r="J69" s="131" t="s">
        <v>14</v>
      </c>
      <c r="K69" s="131"/>
      <c r="L69" s="132" t="s">
        <v>15</v>
      </c>
      <c r="M69" s="132"/>
      <c r="N69" s="17"/>
      <c r="O69" s="116"/>
    </row>
    <row r="70" spans="1:15" ht="15.75" x14ac:dyDescent="0.25">
      <c r="D70" s="42"/>
      <c r="H70" s="127"/>
      <c r="I70" s="128"/>
      <c r="J70" s="4" t="s">
        <v>24</v>
      </c>
      <c r="K70" s="66" t="s">
        <v>1139</v>
      </c>
      <c r="L70" s="105" t="s">
        <v>24</v>
      </c>
      <c r="M70" s="105" t="s">
        <v>1139</v>
      </c>
      <c r="N70" s="17"/>
      <c r="O70" s="116"/>
    </row>
    <row r="71" spans="1:15" ht="15.75" x14ac:dyDescent="0.25">
      <c r="D71" s="42"/>
      <c r="H71" s="129"/>
      <c r="I71" s="130"/>
      <c r="J71" s="39">
        <f>SUM(J46,J67)</f>
        <v>19616450</v>
      </c>
      <c r="K71" s="39">
        <f>SUM(K67+K46)</f>
        <v>328700</v>
      </c>
      <c r="L71" s="40">
        <f>SUM(L67+L46)</f>
        <v>2960868</v>
      </c>
      <c r="M71" s="40">
        <v>0</v>
      </c>
      <c r="N71" s="28"/>
      <c r="O71" s="116"/>
    </row>
    <row r="72" spans="1:15" x14ac:dyDescent="0.25">
      <c r="D72" s="42"/>
      <c r="I72" s="43"/>
      <c r="J72" s="43"/>
    </row>
    <row r="73" spans="1:15" ht="18.75" x14ac:dyDescent="0.3">
      <c r="D73" s="42"/>
      <c r="H73" s="117"/>
      <c r="I73" s="117"/>
      <c r="J73" s="111"/>
      <c r="L73" s="118" t="s">
        <v>1141</v>
      </c>
      <c r="M73" s="119"/>
      <c r="N73" s="112">
        <f>SUM(J71+L71)</f>
        <v>22577318</v>
      </c>
      <c r="O73" s="120">
        <f>SUM(N73+N74)</f>
        <v>22906018</v>
      </c>
    </row>
    <row r="74" spans="1:15" ht="18.75" x14ac:dyDescent="0.3">
      <c r="D74" s="42"/>
      <c r="H74" s="117"/>
      <c r="I74" s="117"/>
      <c r="J74" s="111"/>
      <c r="L74" s="118" t="s">
        <v>1142</v>
      </c>
      <c r="M74" s="119"/>
      <c r="N74" s="112">
        <f>SUM(K71+M71)</f>
        <v>328700</v>
      </c>
      <c r="O74" s="121"/>
    </row>
    <row r="75" spans="1:15" ht="18.75" x14ac:dyDescent="0.3">
      <c r="D75" s="42"/>
      <c r="H75" s="115"/>
      <c r="I75" s="115"/>
      <c r="J75" s="113"/>
      <c r="K75" s="114"/>
    </row>
    <row r="76" spans="1:15" x14ac:dyDescent="0.25">
      <c r="D76" s="2" t="s">
        <v>30</v>
      </c>
      <c r="E76" s="1"/>
      <c r="F76" s="1"/>
      <c r="G76" s="1"/>
      <c r="H76" s="1"/>
      <c r="I76" s="1"/>
      <c r="J76" s="1"/>
      <c r="K76" s="1"/>
    </row>
    <row r="77" spans="1:15" x14ac:dyDescent="0.25">
      <c r="D77" s="2"/>
      <c r="E77" s="1"/>
      <c r="F77" s="1"/>
      <c r="G77" s="1"/>
      <c r="H77" s="1"/>
      <c r="I77" s="1"/>
      <c r="J77" s="1"/>
      <c r="K77" s="1"/>
    </row>
    <row r="78" spans="1:15" x14ac:dyDescent="0.25">
      <c r="D78" s="3" t="s">
        <v>31</v>
      </c>
      <c r="E78" s="3"/>
      <c r="F78" s="3" t="s">
        <v>32</v>
      </c>
      <c r="G78" s="3"/>
      <c r="H78" s="3" t="s">
        <v>33</v>
      </c>
      <c r="I78" s="3"/>
      <c r="J78" s="3"/>
      <c r="K78" s="3" t="s">
        <v>34</v>
      </c>
    </row>
    <row r="79" spans="1:15" x14ac:dyDescent="0.25">
      <c r="D79" s="3"/>
      <c r="E79" s="3"/>
      <c r="F79" s="3"/>
      <c r="G79" s="3"/>
      <c r="H79" s="3"/>
      <c r="I79" s="3"/>
      <c r="J79" s="3"/>
      <c r="K79" s="3"/>
    </row>
    <row r="80" spans="1:15" x14ac:dyDescent="0.25">
      <c r="D80" s="3"/>
      <c r="E80" s="3"/>
      <c r="F80" s="3"/>
      <c r="G80" s="3"/>
      <c r="H80" s="3"/>
      <c r="I80" s="3"/>
      <c r="J80" s="3"/>
      <c r="K80" s="3"/>
    </row>
    <row r="81" spans="4:11" x14ac:dyDescent="0.25">
      <c r="D81" s="3"/>
      <c r="E81" s="3"/>
      <c r="F81" s="3"/>
      <c r="G81" s="3"/>
      <c r="H81" s="3"/>
      <c r="I81" s="3"/>
      <c r="J81" s="3"/>
      <c r="K81" s="3"/>
    </row>
    <row r="82" spans="4:11" x14ac:dyDescent="0.25">
      <c r="D82" s="3" t="s">
        <v>35</v>
      </c>
      <c r="E82" s="3"/>
      <c r="F82" s="3" t="s">
        <v>36</v>
      </c>
      <c r="G82" s="3"/>
      <c r="H82" s="3" t="s">
        <v>36</v>
      </c>
      <c r="I82" s="3"/>
      <c r="J82" s="3"/>
      <c r="K82" s="3" t="s">
        <v>37</v>
      </c>
    </row>
    <row r="83" spans="4:11" x14ac:dyDescent="0.25">
      <c r="D83" s="42"/>
    </row>
    <row r="84" spans="4:11" x14ac:dyDescent="0.25">
      <c r="D84" s="42"/>
    </row>
    <row r="85" spans="4:11" x14ac:dyDescent="0.25">
      <c r="D85" s="42"/>
    </row>
    <row r="86" spans="4:11" x14ac:dyDescent="0.25">
      <c r="D86" s="42"/>
    </row>
    <row r="87" spans="4:11" x14ac:dyDescent="0.25">
      <c r="D87" s="42"/>
    </row>
  </sheetData>
  <mergeCells count="48">
    <mergeCell ref="B48:D48"/>
    <mergeCell ref="B49:B50"/>
    <mergeCell ref="C49:C50"/>
    <mergeCell ref="D49:D50"/>
    <mergeCell ref="E49:E50"/>
    <mergeCell ref="E6:E7"/>
    <mergeCell ref="F6:F7"/>
    <mergeCell ref="G6:G7"/>
    <mergeCell ref="H6:H7"/>
    <mergeCell ref="I6:I7"/>
    <mergeCell ref="B3:D3"/>
    <mergeCell ref="B5:D5"/>
    <mergeCell ref="B6:B7"/>
    <mergeCell ref="C6:C7"/>
    <mergeCell ref="D6:D7"/>
    <mergeCell ref="L4:O4"/>
    <mergeCell ref="J6:N6"/>
    <mergeCell ref="O6:O7"/>
    <mergeCell ref="J7:K7"/>
    <mergeCell ref="L7:M7"/>
    <mergeCell ref="B22:I22"/>
    <mergeCell ref="B23:O23"/>
    <mergeCell ref="B34:I34"/>
    <mergeCell ref="B35:O35"/>
    <mergeCell ref="G46:I46"/>
    <mergeCell ref="B43:I43"/>
    <mergeCell ref="O49:O50"/>
    <mergeCell ref="J50:K50"/>
    <mergeCell ref="L50:M50"/>
    <mergeCell ref="B61:I61"/>
    <mergeCell ref="B62:O62"/>
    <mergeCell ref="F49:F50"/>
    <mergeCell ref="G49:G50"/>
    <mergeCell ref="H49:H50"/>
    <mergeCell ref="I49:I50"/>
    <mergeCell ref="J49:N49"/>
    <mergeCell ref="B65:I65"/>
    <mergeCell ref="H67:I67"/>
    <mergeCell ref="H69:I71"/>
    <mergeCell ref="J69:K69"/>
    <mergeCell ref="L69:M69"/>
    <mergeCell ref="H75:I75"/>
    <mergeCell ref="O69:O71"/>
    <mergeCell ref="H73:I73"/>
    <mergeCell ref="L73:M73"/>
    <mergeCell ref="O73:O74"/>
    <mergeCell ref="H74:I74"/>
    <mergeCell ref="L74:M74"/>
  </mergeCells>
  <pageMargins left="0" right="0" top="0" bottom="0" header="0" footer="0"/>
  <pageSetup paperSize="9" scale="70" orientation="landscape" horizontalDpi="4294967293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0398-B510-42F1-BA49-981AFB96F81E}">
  <dimension ref="A2:Q108"/>
  <sheetViews>
    <sheetView tabSelected="1" topLeftCell="A55" workbookViewId="0">
      <selection activeCell="K76" sqref="K76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19.140625" customWidth="1"/>
    <col min="15" max="15" width="18.5703125" customWidth="1"/>
  </cols>
  <sheetData>
    <row r="2" spans="2:17" x14ac:dyDescent="0.25">
      <c r="B2" s="1" t="s">
        <v>0</v>
      </c>
    </row>
    <row r="3" spans="2:17" x14ac:dyDescent="0.25">
      <c r="B3" s="152" t="s">
        <v>1</v>
      </c>
      <c r="C3" s="152"/>
      <c r="D3" s="152"/>
    </row>
    <row r="4" spans="2:17" x14ac:dyDescent="0.25">
      <c r="K4" s="1"/>
      <c r="L4" s="149" t="s">
        <v>1210</v>
      </c>
      <c r="M4" s="149"/>
      <c r="N4" s="149"/>
      <c r="O4" s="149"/>
    </row>
    <row r="5" spans="2:17" x14ac:dyDescent="0.25">
      <c r="B5" s="153" t="s">
        <v>2</v>
      </c>
      <c r="C5" s="153"/>
      <c r="D5" s="153"/>
      <c r="Q5" t="s">
        <v>90</v>
      </c>
    </row>
    <row r="6" spans="2:17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25" t="s">
        <v>9</v>
      </c>
      <c r="I6" s="156" t="s">
        <v>10</v>
      </c>
      <c r="J6" s="122" t="s">
        <v>11</v>
      </c>
      <c r="K6" s="123"/>
      <c r="L6" s="123"/>
      <c r="M6" s="123"/>
      <c r="N6" s="124"/>
      <c r="O6" s="133" t="s">
        <v>12</v>
      </c>
    </row>
    <row r="7" spans="2:17" ht="15.75" x14ac:dyDescent="0.25">
      <c r="B7" s="155"/>
      <c r="C7" s="155"/>
      <c r="D7" s="155"/>
      <c r="E7" s="155"/>
      <c r="F7" s="155"/>
      <c r="G7" s="155"/>
      <c r="H7" s="129"/>
      <c r="I7" s="156"/>
      <c r="J7" s="151" t="s">
        <v>14</v>
      </c>
      <c r="K7" s="151"/>
      <c r="L7" s="137" t="s">
        <v>15</v>
      </c>
      <c r="M7" s="138"/>
      <c r="N7" s="6" t="s">
        <v>16</v>
      </c>
      <c r="O7" s="134"/>
    </row>
    <row r="8" spans="2:17" ht="15.75" x14ac:dyDescent="0.25">
      <c r="B8" s="83"/>
      <c r="C8" s="83"/>
      <c r="D8" s="88"/>
      <c r="E8" s="88"/>
      <c r="F8" s="88"/>
      <c r="G8" s="88"/>
      <c r="H8" s="88"/>
      <c r="I8" s="92"/>
      <c r="J8" s="4" t="s">
        <v>24</v>
      </c>
      <c r="K8" s="4" t="s">
        <v>1139</v>
      </c>
      <c r="L8" s="5" t="s">
        <v>24</v>
      </c>
      <c r="M8" s="5" t="s">
        <v>1139</v>
      </c>
      <c r="N8" s="6"/>
      <c r="O8" s="85"/>
    </row>
    <row r="9" spans="2:17" x14ac:dyDescent="0.25">
      <c r="B9" s="7">
        <v>1</v>
      </c>
      <c r="C9" s="8" t="s">
        <v>17</v>
      </c>
      <c r="D9" s="9" t="s">
        <v>278</v>
      </c>
      <c r="E9" s="10" t="s">
        <v>279</v>
      </c>
      <c r="F9" s="11" t="s">
        <v>280</v>
      </c>
      <c r="G9" s="12">
        <v>46135</v>
      </c>
      <c r="H9" s="12">
        <v>46148</v>
      </c>
      <c r="I9" s="93">
        <v>345300</v>
      </c>
      <c r="J9" s="95">
        <f>I9</f>
        <v>345300</v>
      </c>
      <c r="K9" s="14"/>
      <c r="L9" s="90"/>
      <c r="M9" s="90"/>
      <c r="N9" s="91"/>
      <c r="O9" s="16"/>
    </row>
    <row r="10" spans="2:17" x14ac:dyDescent="0.25">
      <c r="B10" s="7">
        <v>2</v>
      </c>
      <c r="C10" s="8"/>
      <c r="D10" s="9" t="s">
        <v>1149</v>
      </c>
      <c r="E10" s="10" t="s">
        <v>1153</v>
      </c>
      <c r="F10" s="11" t="s">
        <v>1154</v>
      </c>
      <c r="G10" s="12">
        <v>46148</v>
      </c>
      <c r="H10" s="12">
        <v>46161</v>
      </c>
      <c r="I10" s="94">
        <v>443000</v>
      </c>
      <c r="J10" s="95">
        <f t="shared" ref="J10:J17" si="0">I10</f>
        <v>443000</v>
      </c>
      <c r="K10" s="14"/>
      <c r="L10" s="15"/>
      <c r="M10" s="15"/>
      <c r="N10" s="16"/>
      <c r="O10" s="16"/>
    </row>
    <row r="11" spans="2:17" x14ac:dyDescent="0.25">
      <c r="B11" s="7">
        <v>3</v>
      </c>
      <c r="C11" s="8"/>
      <c r="D11" s="9" t="s">
        <v>1211</v>
      </c>
      <c r="E11" s="10" t="s">
        <v>1212</v>
      </c>
      <c r="F11" s="11" t="s">
        <v>1154</v>
      </c>
      <c r="G11" s="12">
        <v>46148</v>
      </c>
      <c r="H11" s="12">
        <v>46161</v>
      </c>
      <c r="I11" s="94">
        <v>225600</v>
      </c>
      <c r="J11" s="95">
        <f t="shared" si="0"/>
        <v>225600</v>
      </c>
      <c r="K11" s="14"/>
      <c r="L11" s="15"/>
      <c r="M11" s="15"/>
      <c r="N11" s="16"/>
      <c r="O11" s="16"/>
    </row>
    <row r="12" spans="2:17" x14ac:dyDescent="0.25">
      <c r="B12" s="7">
        <v>5</v>
      </c>
      <c r="C12" s="8"/>
      <c r="D12" s="9" t="s">
        <v>1213</v>
      </c>
      <c r="E12" s="10" t="s">
        <v>282</v>
      </c>
      <c r="F12" s="11" t="s">
        <v>39</v>
      </c>
      <c r="G12" s="12">
        <v>46149</v>
      </c>
      <c r="H12" s="12">
        <v>46162</v>
      </c>
      <c r="I12" s="94">
        <v>430200</v>
      </c>
      <c r="J12" s="95">
        <f t="shared" si="0"/>
        <v>430200</v>
      </c>
      <c r="K12" s="14"/>
      <c r="L12" s="15"/>
      <c r="M12" s="15"/>
      <c r="N12" s="16"/>
      <c r="O12" s="16"/>
    </row>
    <row r="13" spans="2:17" x14ac:dyDescent="0.25">
      <c r="B13" s="7">
        <v>6</v>
      </c>
      <c r="C13" s="8"/>
      <c r="D13" s="9" t="s">
        <v>1214</v>
      </c>
      <c r="E13" s="10" t="s">
        <v>291</v>
      </c>
      <c r="F13" s="11" t="s">
        <v>292</v>
      </c>
      <c r="G13" s="12">
        <v>46149</v>
      </c>
      <c r="H13" s="12">
        <v>46162</v>
      </c>
      <c r="I13" s="94">
        <v>983700</v>
      </c>
      <c r="J13" s="95">
        <f t="shared" si="0"/>
        <v>983700</v>
      </c>
      <c r="K13" s="14"/>
      <c r="L13" s="15"/>
      <c r="M13" s="15"/>
      <c r="N13" s="16"/>
      <c r="O13" s="16"/>
    </row>
    <row r="14" spans="2:17" x14ac:dyDescent="0.25">
      <c r="B14" s="7">
        <v>7</v>
      </c>
      <c r="C14" s="8"/>
      <c r="D14" s="9" t="s">
        <v>1215</v>
      </c>
      <c r="E14" s="10" t="s">
        <v>289</v>
      </c>
      <c r="F14" s="11" t="s">
        <v>280</v>
      </c>
      <c r="G14" s="12">
        <v>46149</v>
      </c>
      <c r="H14" s="12">
        <v>46162</v>
      </c>
      <c r="I14" s="94">
        <v>860400</v>
      </c>
      <c r="J14" s="95">
        <f t="shared" si="0"/>
        <v>860400</v>
      </c>
      <c r="K14" s="14"/>
      <c r="L14" s="15"/>
      <c r="M14" s="15"/>
      <c r="N14" s="16"/>
      <c r="O14" s="16"/>
    </row>
    <row r="15" spans="2:17" x14ac:dyDescent="0.25">
      <c r="B15" s="7">
        <v>8</v>
      </c>
      <c r="C15" s="8"/>
      <c r="D15" s="9" t="s">
        <v>1216</v>
      </c>
      <c r="E15" s="10" t="s">
        <v>342</v>
      </c>
      <c r="F15" s="11" t="s">
        <v>343</v>
      </c>
      <c r="G15" s="12">
        <v>46149</v>
      </c>
      <c r="H15" s="12">
        <v>46162</v>
      </c>
      <c r="I15" s="94">
        <v>2203500</v>
      </c>
      <c r="J15" s="95">
        <f t="shared" si="0"/>
        <v>2203500</v>
      </c>
      <c r="K15" s="14"/>
      <c r="L15" s="15"/>
      <c r="M15" s="15"/>
      <c r="N15" s="16"/>
      <c r="O15" s="16"/>
    </row>
    <row r="16" spans="2:17" x14ac:dyDescent="0.25">
      <c r="B16" s="7">
        <v>11</v>
      </c>
      <c r="C16" s="8"/>
      <c r="D16" s="9" t="s">
        <v>1217</v>
      </c>
      <c r="E16" s="10" t="s">
        <v>1218</v>
      </c>
      <c r="F16" s="11" t="s">
        <v>292</v>
      </c>
      <c r="G16" s="12">
        <v>46149</v>
      </c>
      <c r="H16" s="12">
        <v>46162</v>
      </c>
      <c r="I16" s="94">
        <v>564000</v>
      </c>
      <c r="J16" s="95">
        <f t="shared" si="0"/>
        <v>564000</v>
      </c>
      <c r="K16" s="14"/>
      <c r="L16" s="15"/>
      <c r="M16" s="15"/>
      <c r="N16" s="16"/>
      <c r="O16" s="16"/>
    </row>
    <row r="17" spans="2:15" x14ac:dyDescent="0.25">
      <c r="B17" s="7">
        <v>12</v>
      </c>
      <c r="C17" s="8"/>
      <c r="D17" s="9" t="s">
        <v>1219</v>
      </c>
      <c r="E17" s="10" t="s">
        <v>1220</v>
      </c>
      <c r="F17" s="11" t="s">
        <v>292</v>
      </c>
      <c r="G17" s="12">
        <v>46149</v>
      </c>
      <c r="H17" s="12">
        <v>46162</v>
      </c>
      <c r="I17" s="94">
        <v>564000</v>
      </c>
      <c r="J17" s="95">
        <f t="shared" si="0"/>
        <v>564000</v>
      </c>
      <c r="K17" s="14"/>
      <c r="L17" s="15"/>
      <c r="M17" s="15"/>
      <c r="N17" s="16"/>
      <c r="O17" s="16"/>
    </row>
    <row r="18" spans="2:15" x14ac:dyDescent="0.25">
      <c r="B18" s="7">
        <v>14</v>
      </c>
      <c r="C18" s="8"/>
      <c r="D18" s="9" t="s">
        <v>1221</v>
      </c>
      <c r="E18" s="10" t="s">
        <v>1153</v>
      </c>
      <c r="F18" s="11" t="s">
        <v>1154</v>
      </c>
      <c r="G18" s="12">
        <v>46148</v>
      </c>
      <c r="H18" s="12">
        <v>46161</v>
      </c>
      <c r="I18" s="94">
        <v>121356</v>
      </c>
      <c r="J18" s="95"/>
      <c r="K18" s="14"/>
      <c r="L18" s="15">
        <f>I18</f>
        <v>121356</v>
      </c>
      <c r="M18" s="15"/>
      <c r="N18" s="16"/>
      <c r="O18" s="16"/>
    </row>
    <row r="19" spans="2:15" x14ac:dyDescent="0.25">
      <c r="B19" s="7">
        <v>15</v>
      </c>
      <c r="C19" s="8"/>
      <c r="D19" s="9" t="s">
        <v>1222</v>
      </c>
      <c r="E19" s="10" t="s">
        <v>590</v>
      </c>
      <c r="F19" s="11" t="s">
        <v>280</v>
      </c>
      <c r="G19" s="12">
        <v>46149</v>
      </c>
      <c r="H19" s="12">
        <v>46162</v>
      </c>
      <c r="I19" s="94">
        <v>316600</v>
      </c>
      <c r="J19" s="95"/>
      <c r="K19" s="14"/>
      <c r="L19" s="15">
        <f t="shared" ref="L19:L20" si="1">I19</f>
        <v>316600</v>
      </c>
      <c r="M19" s="15"/>
      <c r="N19" s="16"/>
      <c r="O19" s="16"/>
    </row>
    <row r="20" spans="2:15" x14ac:dyDescent="0.25">
      <c r="B20" s="7">
        <v>16</v>
      </c>
      <c r="C20" s="8"/>
      <c r="D20" s="9" t="s">
        <v>1223</v>
      </c>
      <c r="E20" s="10" t="s">
        <v>282</v>
      </c>
      <c r="F20" s="11" t="s">
        <v>39</v>
      </c>
      <c r="G20" s="12">
        <v>46149</v>
      </c>
      <c r="H20" s="12">
        <v>46162</v>
      </c>
      <c r="I20" s="94">
        <v>211200</v>
      </c>
      <c r="J20" s="95"/>
      <c r="K20" s="14"/>
      <c r="L20" s="15">
        <f t="shared" si="1"/>
        <v>211200</v>
      </c>
      <c r="M20" s="15"/>
      <c r="N20" s="16"/>
      <c r="O20" s="16"/>
    </row>
    <row r="21" spans="2:15" ht="15.75" x14ac:dyDescent="0.25">
      <c r="B21" s="122" t="s">
        <v>12</v>
      </c>
      <c r="C21" s="123"/>
      <c r="D21" s="123"/>
      <c r="E21" s="123"/>
      <c r="F21" s="123"/>
      <c r="G21" s="123"/>
      <c r="H21" s="123"/>
      <c r="I21" s="124"/>
      <c r="J21" s="106">
        <f>SUM(J9:J20)</f>
        <v>6619700</v>
      </c>
      <c r="K21" s="18">
        <f>SUM(K9:K20)</f>
        <v>0</v>
      </c>
      <c r="L21" s="19">
        <f>SUM(L9:L20)</f>
        <v>649156</v>
      </c>
      <c r="M21" s="89">
        <f>SUM(M9:M20)</f>
        <v>0</v>
      </c>
      <c r="N21" s="20"/>
      <c r="O21" s="21">
        <f>SUM(J21+K21+L21+M21)</f>
        <v>7268856</v>
      </c>
    </row>
    <row r="22" spans="2:15" ht="15.75" x14ac:dyDescent="0.25">
      <c r="B22" s="141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</row>
    <row r="23" spans="2:15" x14ac:dyDescent="0.25">
      <c r="B23" s="7">
        <v>1</v>
      </c>
      <c r="C23" s="22" t="s">
        <v>21</v>
      </c>
      <c r="D23" s="9" t="s">
        <v>1224</v>
      </c>
      <c r="E23" s="23" t="s">
        <v>1225</v>
      </c>
      <c r="F23" s="24" t="s">
        <v>363</v>
      </c>
      <c r="G23" s="25">
        <v>46149</v>
      </c>
      <c r="H23" s="96">
        <v>46162</v>
      </c>
      <c r="I23" s="97">
        <v>215100</v>
      </c>
      <c r="J23" s="98">
        <f>I23</f>
        <v>215100</v>
      </c>
      <c r="K23" s="14"/>
      <c r="L23" s="15"/>
      <c r="M23" s="15"/>
      <c r="N23" s="16"/>
      <c r="O23" s="16"/>
    </row>
    <row r="24" spans="2:15" x14ac:dyDescent="0.25">
      <c r="B24" s="7">
        <v>2</v>
      </c>
      <c r="C24" s="22"/>
      <c r="D24" s="9" t="s">
        <v>1226</v>
      </c>
      <c r="E24" s="23" t="s">
        <v>362</v>
      </c>
      <c r="F24" s="24" t="s">
        <v>363</v>
      </c>
      <c r="G24" s="25">
        <v>46149</v>
      </c>
      <c r="H24" s="96">
        <v>46162</v>
      </c>
      <c r="I24" s="97">
        <v>430200</v>
      </c>
      <c r="J24" s="98">
        <f t="shared" ref="J24:J36" si="2">I24</f>
        <v>430200</v>
      </c>
      <c r="K24" s="14"/>
      <c r="L24" s="15"/>
      <c r="M24" s="15"/>
      <c r="N24" s="16"/>
      <c r="O24" s="16"/>
    </row>
    <row r="25" spans="2:15" x14ac:dyDescent="0.25">
      <c r="B25" s="7">
        <v>3</v>
      </c>
      <c r="C25" s="22"/>
      <c r="D25" s="9" t="s">
        <v>1227</v>
      </c>
      <c r="E25" s="23" t="s">
        <v>306</v>
      </c>
      <c r="F25" s="24" t="s">
        <v>304</v>
      </c>
      <c r="G25" s="25">
        <v>46149</v>
      </c>
      <c r="H25" s="96">
        <v>46162</v>
      </c>
      <c r="I25" s="97">
        <v>430200</v>
      </c>
      <c r="J25" s="98">
        <f t="shared" si="2"/>
        <v>430200</v>
      </c>
      <c r="K25" s="14"/>
      <c r="L25" s="15"/>
      <c r="M25" s="15"/>
      <c r="N25" s="16"/>
      <c r="O25" s="16"/>
    </row>
    <row r="26" spans="2:15" x14ac:dyDescent="0.25">
      <c r="B26" s="7">
        <v>4</v>
      </c>
      <c r="C26" s="22"/>
      <c r="D26" s="9" t="s">
        <v>1228</v>
      </c>
      <c r="E26" s="23" t="s">
        <v>1229</v>
      </c>
      <c r="F26" s="24" t="s">
        <v>304</v>
      </c>
      <c r="G26" s="25">
        <v>46149</v>
      </c>
      <c r="H26" s="96">
        <v>46162</v>
      </c>
      <c r="I26" s="97">
        <v>430200</v>
      </c>
      <c r="J26" s="98">
        <f t="shared" si="2"/>
        <v>430200</v>
      </c>
      <c r="K26" s="14"/>
      <c r="L26" s="15"/>
      <c r="M26" s="15"/>
      <c r="N26" s="16"/>
      <c r="O26" s="16"/>
    </row>
    <row r="27" spans="2:15" x14ac:dyDescent="0.25">
      <c r="B27" s="7">
        <v>5</v>
      </c>
      <c r="C27" s="22"/>
      <c r="D27" s="9" t="s">
        <v>1230</v>
      </c>
      <c r="E27" s="23" t="s">
        <v>508</v>
      </c>
      <c r="F27" s="24" t="s">
        <v>304</v>
      </c>
      <c r="G27" s="25">
        <v>46149</v>
      </c>
      <c r="H27" s="96">
        <v>46162</v>
      </c>
      <c r="I27" s="97">
        <v>327900</v>
      </c>
      <c r="J27" s="98">
        <f t="shared" si="2"/>
        <v>327900</v>
      </c>
      <c r="K27" s="14"/>
      <c r="L27" s="15"/>
      <c r="M27" s="15"/>
      <c r="N27" s="16"/>
      <c r="O27" s="16"/>
    </row>
    <row r="28" spans="2:15" x14ac:dyDescent="0.25">
      <c r="B28" s="7">
        <v>6</v>
      </c>
      <c r="C28" s="22"/>
      <c r="D28" s="9" t="s">
        <v>1231</v>
      </c>
      <c r="E28" s="23" t="s">
        <v>1232</v>
      </c>
      <c r="F28" s="24" t="s">
        <v>304</v>
      </c>
      <c r="G28" s="25">
        <v>46149</v>
      </c>
      <c r="H28" s="96">
        <v>46162</v>
      </c>
      <c r="I28" s="97">
        <v>327900</v>
      </c>
      <c r="J28" s="98">
        <f t="shared" si="2"/>
        <v>327900</v>
      </c>
      <c r="K28" s="14"/>
      <c r="L28" s="15"/>
      <c r="M28" s="15"/>
      <c r="N28" s="16"/>
      <c r="O28" s="16"/>
    </row>
    <row r="29" spans="2:15" x14ac:dyDescent="0.25">
      <c r="B29" s="7">
        <v>7</v>
      </c>
      <c r="C29" s="22"/>
      <c r="D29" s="9" t="s">
        <v>1233</v>
      </c>
      <c r="E29" s="23" t="s">
        <v>1234</v>
      </c>
      <c r="F29" s="24" t="s">
        <v>304</v>
      </c>
      <c r="G29" s="25">
        <v>46149</v>
      </c>
      <c r="H29" s="96">
        <v>46162</v>
      </c>
      <c r="I29" s="97">
        <v>215100</v>
      </c>
      <c r="J29" s="98">
        <f t="shared" si="2"/>
        <v>215100</v>
      </c>
      <c r="K29" s="14"/>
      <c r="L29" s="15"/>
      <c r="M29" s="15"/>
      <c r="N29" s="16"/>
      <c r="O29" s="16"/>
    </row>
    <row r="30" spans="2:15" x14ac:dyDescent="0.25">
      <c r="B30" s="7">
        <v>8</v>
      </c>
      <c r="C30" s="22"/>
      <c r="D30" s="9" t="s">
        <v>1235</v>
      </c>
      <c r="E30" s="23" t="s">
        <v>1236</v>
      </c>
      <c r="F30" s="24" t="s">
        <v>304</v>
      </c>
      <c r="G30" s="25">
        <v>46149</v>
      </c>
      <c r="H30" s="96">
        <v>46162</v>
      </c>
      <c r="I30" s="97">
        <v>645300</v>
      </c>
      <c r="J30" s="98">
        <f t="shared" si="2"/>
        <v>645300</v>
      </c>
      <c r="K30" s="14"/>
      <c r="L30" s="15"/>
      <c r="M30" s="15"/>
      <c r="N30" s="16"/>
      <c r="O30" s="16"/>
    </row>
    <row r="31" spans="2:15" x14ac:dyDescent="0.25">
      <c r="B31" s="7">
        <v>9</v>
      </c>
      <c r="C31" s="22"/>
      <c r="D31" s="9" t="s">
        <v>1237</v>
      </c>
      <c r="E31" s="23" t="s">
        <v>365</v>
      </c>
      <c r="F31" s="24" t="s">
        <v>366</v>
      </c>
      <c r="G31" s="25">
        <v>46149</v>
      </c>
      <c r="H31" s="96">
        <v>46162</v>
      </c>
      <c r="I31" s="97">
        <v>338400</v>
      </c>
      <c r="J31" s="98">
        <f t="shared" si="2"/>
        <v>338400</v>
      </c>
      <c r="K31" s="14"/>
      <c r="L31" s="15"/>
      <c r="M31" s="15"/>
      <c r="N31" s="16"/>
      <c r="O31" s="16"/>
    </row>
    <row r="32" spans="2:15" x14ac:dyDescent="0.25">
      <c r="B32" s="7">
        <v>10</v>
      </c>
      <c r="C32" s="22"/>
      <c r="D32" s="9" t="s">
        <v>1238</v>
      </c>
      <c r="E32" s="23" t="s">
        <v>368</v>
      </c>
      <c r="F32" s="24" t="s">
        <v>298</v>
      </c>
      <c r="G32" s="25">
        <v>46149</v>
      </c>
      <c r="H32" s="96">
        <v>46162</v>
      </c>
      <c r="I32" s="97">
        <v>327900</v>
      </c>
      <c r="J32" s="98">
        <f t="shared" si="2"/>
        <v>327900</v>
      </c>
      <c r="K32" s="14"/>
      <c r="L32" s="15"/>
      <c r="M32" s="15"/>
      <c r="N32" s="16"/>
      <c r="O32" s="16"/>
    </row>
    <row r="33" spans="2:15" x14ac:dyDescent="0.25">
      <c r="B33" s="7">
        <v>11</v>
      </c>
      <c r="C33" s="22"/>
      <c r="D33" s="9" t="s">
        <v>1239</v>
      </c>
      <c r="E33" s="23" t="s">
        <v>300</v>
      </c>
      <c r="F33" s="24" t="s">
        <v>298</v>
      </c>
      <c r="G33" s="25">
        <v>46149</v>
      </c>
      <c r="H33" s="96">
        <v>46162</v>
      </c>
      <c r="I33" s="97">
        <v>1075500</v>
      </c>
      <c r="J33" s="98">
        <f t="shared" si="2"/>
        <v>1075500</v>
      </c>
      <c r="K33" s="14"/>
      <c r="L33" s="15"/>
      <c r="M33" s="15"/>
      <c r="N33" s="16"/>
      <c r="O33" s="16"/>
    </row>
    <row r="34" spans="2:15" x14ac:dyDescent="0.25">
      <c r="B34" s="7">
        <v>12</v>
      </c>
      <c r="C34" s="22"/>
      <c r="D34" s="9" t="s">
        <v>1240</v>
      </c>
      <c r="E34" s="23" t="s">
        <v>378</v>
      </c>
      <c r="F34" s="24" t="s">
        <v>379</v>
      </c>
      <c r="G34" s="25">
        <v>46149</v>
      </c>
      <c r="H34" s="96">
        <v>46162</v>
      </c>
      <c r="I34" s="97">
        <v>430200</v>
      </c>
      <c r="J34" s="98">
        <f t="shared" si="2"/>
        <v>430200</v>
      </c>
      <c r="K34" s="14"/>
      <c r="L34" s="15"/>
      <c r="M34" s="15"/>
      <c r="N34" s="16"/>
      <c r="O34" s="16"/>
    </row>
    <row r="35" spans="2:15" x14ac:dyDescent="0.25">
      <c r="B35" s="7">
        <v>13</v>
      </c>
      <c r="C35" s="22"/>
      <c r="D35" s="9" t="s">
        <v>1241</v>
      </c>
      <c r="E35" s="23" t="s">
        <v>1242</v>
      </c>
      <c r="F35" s="24" t="s">
        <v>1243</v>
      </c>
      <c r="G35" s="25">
        <v>46149</v>
      </c>
      <c r="H35" s="96">
        <v>46162</v>
      </c>
      <c r="I35" s="97">
        <v>430200</v>
      </c>
      <c r="J35" s="98">
        <f t="shared" si="2"/>
        <v>430200</v>
      </c>
      <c r="K35" s="14"/>
      <c r="L35" s="15"/>
      <c r="M35" s="15"/>
      <c r="N35" s="16"/>
      <c r="O35" s="16"/>
    </row>
    <row r="36" spans="2:15" x14ac:dyDescent="0.25">
      <c r="B36" s="7">
        <v>14</v>
      </c>
      <c r="C36" s="22"/>
      <c r="D36" s="9" t="s">
        <v>1244</v>
      </c>
      <c r="E36" s="23" t="s">
        <v>370</v>
      </c>
      <c r="F36" s="24" t="s">
        <v>174</v>
      </c>
      <c r="G36" s="25">
        <v>46149</v>
      </c>
      <c r="H36" s="96">
        <v>46162</v>
      </c>
      <c r="I36" s="97">
        <v>327900</v>
      </c>
      <c r="J36" s="98">
        <f t="shared" si="2"/>
        <v>327900</v>
      </c>
      <c r="K36" s="14"/>
      <c r="L36" s="15"/>
      <c r="M36" s="15"/>
      <c r="N36" s="16"/>
      <c r="O36" s="16"/>
    </row>
    <row r="37" spans="2:15" x14ac:dyDescent="0.25">
      <c r="B37" s="7">
        <v>15</v>
      </c>
      <c r="C37" s="22"/>
      <c r="D37" s="9" t="s">
        <v>1245</v>
      </c>
      <c r="E37" s="23" t="s">
        <v>362</v>
      </c>
      <c r="F37" s="24" t="s">
        <v>363</v>
      </c>
      <c r="G37" s="25">
        <v>46135</v>
      </c>
      <c r="H37" s="96">
        <v>46148</v>
      </c>
      <c r="I37" s="97">
        <v>312000</v>
      </c>
      <c r="J37" s="98"/>
      <c r="K37" s="14"/>
      <c r="L37" s="15">
        <f>I37</f>
        <v>312000</v>
      </c>
      <c r="M37" s="15"/>
      <c r="N37" s="16"/>
      <c r="O37" s="16"/>
    </row>
    <row r="38" spans="2:15" x14ac:dyDescent="0.25">
      <c r="B38" s="7">
        <v>16</v>
      </c>
      <c r="C38" s="22"/>
      <c r="D38" s="9" t="s">
        <v>1246</v>
      </c>
      <c r="E38" s="23" t="s">
        <v>1247</v>
      </c>
      <c r="F38" s="24" t="s">
        <v>119</v>
      </c>
      <c r="G38" s="25">
        <v>46137</v>
      </c>
      <c r="H38" s="96">
        <v>46150</v>
      </c>
      <c r="I38" s="97">
        <v>1224300</v>
      </c>
      <c r="J38" s="98"/>
      <c r="K38" s="14"/>
      <c r="L38" s="15">
        <f t="shared" ref="L38:L43" si="3">I38</f>
        <v>1224300</v>
      </c>
      <c r="M38" s="15"/>
      <c r="N38" s="16"/>
      <c r="O38" s="16"/>
    </row>
    <row r="39" spans="2:15" x14ac:dyDescent="0.25">
      <c r="B39" s="7">
        <v>17</v>
      </c>
      <c r="C39" s="22"/>
      <c r="D39" s="9" t="s">
        <v>1248</v>
      </c>
      <c r="E39" s="23" t="s">
        <v>1247</v>
      </c>
      <c r="F39" s="24" t="s">
        <v>119</v>
      </c>
      <c r="G39" s="25">
        <v>46137</v>
      </c>
      <c r="H39" s="96">
        <v>46150</v>
      </c>
      <c r="I39" s="97">
        <v>326150</v>
      </c>
      <c r="J39" s="98"/>
      <c r="K39" s="14"/>
      <c r="L39" s="15">
        <f t="shared" si="3"/>
        <v>326150</v>
      </c>
      <c r="M39" s="15"/>
      <c r="N39" s="16"/>
      <c r="O39" s="16"/>
    </row>
    <row r="40" spans="2:15" x14ac:dyDescent="0.25">
      <c r="B40" s="7">
        <v>18</v>
      </c>
      <c r="C40" s="22"/>
      <c r="D40" s="9" t="s">
        <v>1249</v>
      </c>
      <c r="E40" s="23" t="s">
        <v>1076</v>
      </c>
      <c r="F40" s="24" t="s">
        <v>119</v>
      </c>
      <c r="G40" s="25">
        <v>46137</v>
      </c>
      <c r="H40" s="96">
        <v>46150</v>
      </c>
      <c r="I40" s="97">
        <v>887400</v>
      </c>
      <c r="J40" s="98"/>
      <c r="K40" s="14"/>
      <c r="L40" s="15">
        <f t="shared" si="3"/>
        <v>887400</v>
      </c>
      <c r="M40" s="15"/>
      <c r="N40" s="16"/>
      <c r="O40" s="16"/>
    </row>
    <row r="41" spans="2:15" x14ac:dyDescent="0.25">
      <c r="B41" s="7">
        <v>19</v>
      </c>
      <c r="C41" s="22"/>
      <c r="D41" s="9" t="s">
        <v>1250</v>
      </c>
      <c r="E41" s="23" t="s">
        <v>1076</v>
      </c>
      <c r="F41" s="24" t="s">
        <v>119</v>
      </c>
      <c r="G41" s="25">
        <v>46148</v>
      </c>
      <c r="H41" s="96">
        <v>46161</v>
      </c>
      <c r="I41" s="97">
        <v>435000</v>
      </c>
      <c r="J41" s="98"/>
      <c r="K41" s="14"/>
      <c r="L41" s="15">
        <f t="shared" si="3"/>
        <v>435000</v>
      </c>
      <c r="M41" s="15"/>
      <c r="N41" s="16"/>
      <c r="O41" s="16"/>
    </row>
    <row r="42" spans="2:15" x14ac:dyDescent="0.25">
      <c r="B42" s="7">
        <v>20</v>
      </c>
      <c r="C42" s="22"/>
      <c r="D42" s="9" t="s">
        <v>1251</v>
      </c>
      <c r="E42" s="23" t="s">
        <v>365</v>
      </c>
      <c r="F42" s="24" t="s">
        <v>366</v>
      </c>
      <c r="G42" s="25">
        <v>46149</v>
      </c>
      <c r="H42" s="96">
        <v>46162</v>
      </c>
      <c r="I42" s="97">
        <v>137112</v>
      </c>
      <c r="J42" s="98"/>
      <c r="K42" s="14"/>
      <c r="L42" s="15">
        <f t="shared" si="3"/>
        <v>137112</v>
      </c>
      <c r="M42" s="15"/>
      <c r="N42" s="16"/>
      <c r="O42" s="16"/>
    </row>
    <row r="43" spans="2:15" x14ac:dyDescent="0.25">
      <c r="B43" s="7">
        <v>21</v>
      </c>
      <c r="C43" s="22"/>
      <c r="D43" s="9" t="s">
        <v>1252</v>
      </c>
      <c r="E43" s="23" t="s">
        <v>378</v>
      </c>
      <c r="F43" s="24" t="s">
        <v>379</v>
      </c>
      <c r="G43" s="25">
        <v>46149</v>
      </c>
      <c r="H43" s="96">
        <v>46162</v>
      </c>
      <c r="I43" s="97">
        <v>80000</v>
      </c>
      <c r="J43" s="98"/>
      <c r="K43" s="14"/>
      <c r="L43" s="15">
        <f t="shared" si="3"/>
        <v>80000</v>
      </c>
      <c r="M43" s="15"/>
      <c r="N43" s="16"/>
      <c r="O43" s="16"/>
    </row>
    <row r="44" spans="2:15" ht="15.75" x14ac:dyDescent="0.25">
      <c r="B44" s="143" t="s">
        <v>12</v>
      </c>
      <c r="C44" s="144"/>
      <c r="D44" s="144"/>
      <c r="E44" s="144"/>
      <c r="F44" s="144"/>
      <c r="G44" s="144"/>
      <c r="H44" s="144"/>
      <c r="I44" s="170"/>
      <c r="J44" s="110">
        <f>SUM(J23:J43)</f>
        <v>5952000</v>
      </c>
      <c r="K44" s="18">
        <f>SUM(K23:K43)</f>
        <v>0</v>
      </c>
      <c r="L44" s="19">
        <f>SUM(L23:L43)</f>
        <v>3401962</v>
      </c>
      <c r="M44" s="19">
        <f>SUM(M23:M43)</f>
        <v>0</v>
      </c>
      <c r="N44" s="28"/>
      <c r="O44" s="29">
        <f>SUM(J44+K44+L44+M44)</f>
        <v>9353962</v>
      </c>
    </row>
    <row r="45" spans="2:15" ht="15.75" x14ac:dyDescent="0.25">
      <c r="B45" s="147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</row>
    <row r="46" spans="2:15" ht="15.75" x14ac:dyDescent="0.25">
      <c r="B46" s="67">
        <v>1</v>
      </c>
      <c r="C46" s="31" t="s">
        <v>22</v>
      </c>
      <c r="D46" s="55" t="s">
        <v>1253</v>
      </c>
      <c r="E46" s="71" t="s">
        <v>311</v>
      </c>
      <c r="F46" s="71" t="s">
        <v>312</v>
      </c>
      <c r="G46" s="68">
        <v>46149</v>
      </c>
      <c r="H46" s="68">
        <v>46162</v>
      </c>
      <c r="I46" s="69">
        <v>655800</v>
      </c>
      <c r="J46" s="81">
        <f>I46</f>
        <v>655800</v>
      </c>
      <c r="K46" s="82"/>
      <c r="L46" s="79"/>
      <c r="M46" s="79"/>
      <c r="N46" s="16"/>
      <c r="O46" s="67"/>
    </row>
    <row r="47" spans="2:15" ht="15.75" x14ac:dyDescent="0.25">
      <c r="B47" s="67">
        <v>2</v>
      </c>
      <c r="C47" s="31"/>
      <c r="D47" s="55" t="s">
        <v>1254</v>
      </c>
      <c r="E47" s="71" t="s">
        <v>308</v>
      </c>
      <c r="F47" s="71" t="s">
        <v>309</v>
      </c>
      <c r="G47" s="68">
        <v>46149</v>
      </c>
      <c r="H47" s="68">
        <v>46162</v>
      </c>
      <c r="I47" s="69">
        <v>983700</v>
      </c>
      <c r="J47" s="81">
        <f t="shared" ref="J47:J56" si="4">I47</f>
        <v>983700</v>
      </c>
      <c r="K47" s="82"/>
      <c r="L47" s="79"/>
      <c r="M47" s="79"/>
      <c r="N47" s="16"/>
      <c r="O47" s="67"/>
    </row>
    <row r="48" spans="2:15" ht="15.75" x14ac:dyDescent="0.25">
      <c r="B48" s="67">
        <v>3</v>
      </c>
      <c r="C48" s="31"/>
      <c r="D48" s="55" t="s">
        <v>1255</v>
      </c>
      <c r="E48" s="71" t="s">
        <v>408</v>
      </c>
      <c r="F48" s="71" t="s">
        <v>309</v>
      </c>
      <c r="G48" s="68">
        <v>46149</v>
      </c>
      <c r="H48" s="68">
        <v>46162</v>
      </c>
      <c r="I48" s="69">
        <v>112800</v>
      </c>
      <c r="J48" s="81">
        <f t="shared" si="4"/>
        <v>112800</v>
      </c>
      <c r="K48" s="82"/>
      <c r="L48" s="79"/>
      <c r="M48" s="79"/>
      <c r="N48" s="16"/>
      <c r="O48" s="67"/>
    </row>
    <row r="49" spans="2:15" ht="15.75" x14ac:dyDescent="0.25">
      <c r="B49" s="67">
        <v>4</v>
      </c>
      <c r="C49" s="31"/>
      <c r="D49" s="55" t="s">
        <v>1256</v>
      </c>
      <c r="E49" s="71" t="s">
        <v>1257</v>
      </c>
      <c r="F49" s="71" t="s">
        <v>1258</v>
      </c>
      <c r="G49" s="68">
        <v>46149</v>
      </c>
      <c r="H49" s="68">
        <v>46162</v>
      </c>
      <c r="I49" s="69">
        <v>655800</v>
      </c>
      <c r="J49" s="81">
        <f t="shared" si="4"/>
        <v>655800</v>
      </c>
      <c r="K49" s="82"/>
      <c r="L49" s="79"/>
      <c r="M49" s="79"/>
      <c r="N49" s="16"/>
      <c r="O49" s="67"/>
    </row>
    <row r="50" spans="2:15" ht="15.75" x14ac:dyDescent="0.25">
      <c r="B50" s="67">
        <v>5</v>
      </c>
      <c r="C50" s="31"/>
      <c r="D50" s="55" t="s">
        <v>1259</v>
      </c>
      <c r="E50" s="71" t="s">
        <v>1260</v>
      </c>
      <c r="F50" s="71" t="s">
        <v>431</v>
      </c>
      <c r="G50" s="68">
        <v>46149</v>
      </c>
      <c r="H50" s="68">
        <v>46162</v>
      </c>
      <c r="I50" s="69">
        <v>655800</v>
      </c>
      <c r="J50" s="81">
        <f t="shared" si="4"/>
        <v>655800</v>
      </c>
      <c r="K50" s="82"/>
      <c r="L50" s="79"/>
      <c r="M50" s="79"/>
      <c r="N50" s="16"/>
      <c r="O50" s="67"/>
    </row>
    <row r="51" spans="2:15" ht="15.75" x14ac:dyDescent="0.25">
      <c r="B51" s="67">
        <v>6</v>
      </c>
      <c r="C51" s="31"/>
      <c r="D51" s="55" t="s">
        <v>1261</v>
      </c>
      <c r="E51" s="71" t="s">
        <v>1262</v>
      </c>
      <c r="F51" s="71" t="s">
        <v>1263</v>
      </c>
      <c r="G51" s="68">
        <v>46149</v>
      </c>
      <c r="H51" s="68">
        <v>46162</v>
      </c>
      <c r="I51" s="69">
        <v>440700</v>
      </c>
      <c r="J51" s="81">
        <f t="shared" si="4"/>
        <v>440700</v>
      </c>
      <c r="K51" s="82"/>
      <c r="L51" s="79"/>
      <c r="M51" s="79"/>
      <c r="N51" s="16"/>
      <c r="O51" s="67"/>
    </row>
    <row r="52" spans="2:15" ht="15.75" x14ac:dyDescent="0.25">
      <c r="B52" s="67">
        <v>7</v>
      </c>
      <c r="C52" s="31"/>
      <c r="D52" s="55" t="s">
        <v>1264</v>
      </c>
      <c r="E52" s="71" t="s">
        <v>1265</v>
      </c>
      <c r="F52" s="71" t="s">
        <v>1266</v>
      </c>
      <c r="G52" s="68">
        <v>46149</v>
      </c>
      <c r="H52" s="68">
        <v>46162</v>
      </c>
      <c r="I52" s="69">
        <v>327900</v>
      </c>
      <c r="J52" s="81">
        <f t="shared" si="4"/>
        <v>327900</v>
      </c>
      <c r="K52" s="82"/>
      <c r="L52" s="79"/>
      <c r="M52" s="79"/>
      <c r="N52" s="16"/>
      <c r="O52" s="67"/>
    </row>
    <row r="53" spans="2:15" ht="15.75" x14ac:dyDescent="0.25">
      <c r="B53" s="67">
        <v>8</v>
      </c>
      <c r="C53" s="31"/>
      <c r="D53" s="55" t="s">
        <v>1267</v>
      </c>
      <c r="E53" s="71" t="s">
        <v>1268</v>
      </c>
      <c r="F53" s="71" t="s">
        <v>1269</v>
      </c>
      <c r="G53" s="68">
        <v>46149</v>
      </c>
      <c r="H53" s="68">
        <v>46162</v>
      </c>
      <c r="I53" s="69">
        <v>327900</v>
      </c>
      <c r="J53" s="81">
        <f t="shared" si="4"/>
        <v>327900</v>
      </c>
      <c r="K53" s="82"/>
      <c r="L53" s="70"/>
      <c r="M53" s="70"/>
      <c r="N53" s="16"/>
      <c r="O53" s="67"/>
    </row>
    <row r="54" spans="2:15" ht="15.75" x14ac:dyDescent="0.25">
      <c r="B54" s="67">
        <v>9</v>
      </c>
      <c r="C54" s="31"/>
      <c r="D54" s="55" t="s">
        <v>1270</v>
      </c>
      <c r="E54" s="71" t="s">
        <v>1271</v>
      </c>
      <c r="F54" s="71" t="s">
        <v>1269</v>
      </c>
      <c r="G54" s="68">
        <v>46149</v>
      </c>
      <c r="H54" s="68">
        <v>46162</v>
      </c>
      <c r="I54" s="69">
        <v>327900</v>
      </c>
      <c r="J54" s="81">
        <f t="shared" si="4"/>
        <v>327900</v>
      </c>
      <c r="K54" s="82"/>
      <c r="L54" s="70"/>
      <c r="M54" s="70"/>
      <c r="N54" s="16"/>
      <c r="O54" s="67"/>
    </row>
    <row r="55" spans="2:15" ht="15.75" x14ac:dyDescent="0.25">
      <c r="B55" s="67">
        <v>10</v>
      </c>
      <c r="C55" s="31"/>
      <c r="D55" s="55" t="s">
        <v>1272</v>
      </c>
      <c r="E55" s="71" t="s">
        <v>1273</v>
      </c>
      <c r="F55" s="71" t="s">
        <v>309</v>
      </c>
      <c r="G55" s="68">
        <v>46149</v>
      </c>
      <c r="H55" s="68">
        <v>46162</v>
      </c>
      <c r="I55" s="69">
        <v>327900</v>
      </c>
      <c r="J55" s="81">
        <f t="shared" si="4"/>
        <v>327900</v>
      </c>
      <c r="K55" s="82"/>
      <c r="L55" s="70"/>
      <c r="M55" s="70"/>
      <c r="N55" s="16"/>
      <c r="O55" s="67"/>
    </row>
    <row r="56" spans="2:15" ht="15.75" x14ac:dyDescent="0.25">
      <c r="B56" s="67">
        <v>11</v>
      </c>
      <c r="C56" s="31"/>
      <c r="D56" s="55" t="s">
        <v>1274</v>
      </c>
      <c r="E56" s="71" t="s">
        <v>1275</v>
      </c>
      <c r="F56" s="71" t="s">
        <v>434</v>
      </c>
      <c r="G56" s="68">
        <v>46149</v>
      </c>
      <c r="H56" s="68">
        <v>46162</v>
      </c>
      <c r="I56" s="69">
        <v>655800</v>
      </c>
      <c r="J56" s="81">
        <f t="shared" si="4"/>
        <v>655800</v>
      </c>
      <c r="K56" s="82"/>
      <c r="L56" s="70"/>
      <c r="M56" s="70"/>
      <c r="N56" s="16"/>
      <c r="O56" s="67"/>
    </row>
    <row r="57" spans="2:15" ht="15.75" x14ac:dyDescent="0.25">
      <c r="B57" s="67">
        <v>12</v>
      </c>
      <c r="C57" s="31"/>
      <c r="D57" s="55" t="s">
        <v>1276</v>
      </c>
      <c r="E57" s="71" t="s">
        <v>308</v>
      </c>
      <c r="F57" s="71" t="s">
        <v>309</v>
      </c>
      <c r="G57" s="68">
        <v>46149</v>
      </c>
      <c r="H57" s="68">
        <v>46162</v>
      </c>
      <c r="I57" s="69">
        <v>59000</v>
      </c>
      <c r="J57" s="81"/>
      <c r="K57" s="82"/>
      <c r="L57" s="70">
        <f>I57</f>
        <v>59000</v>
      </c>
      <c r="M57" s="70"/>
      <c r="N57" s="16"/>
      <c r="O57" s="67"/>
    </row>
    <row r="58" spans="2:15" ht="15.75" x14ac:dyDescent="0.25">
      <c r="B58" s="67">
        <v>13</v>
      </c>
      <c r="C58" s="67"/>
      <c r="D58" s="55" t="s">
        <v>1277</v>
      </c>
      <c r="E58" s="71" t="s">
        <v>1257</v>
      </c>
      <c r="F58" s="71" t="s">
        <v>1258</v>
      </c>
      <c r="G58" s="68">
        <v>46149</v>
      </c>
      <c r="H58" s="68">
        <v>46162</v>
      </c>
      <c r="I58" s="69">
        <v>59000</v>
      </c>
      <c r="J58" s="81"/>
      <c r="K58" s="82"/>
      <c r="L58" s="70">
        <f t="shared" ref="L58:L62" si="5">I58</f>
        <v>59000</v>
      </c>
      <c r="M58" s="70"/>
      <c r="N58" s="16"/>
      <c r="O58" s="67"/>
    </row>
    <row r="59" spans="2:15" ht="15.75" x14ac:dyDescent="0.25">
      <c r="B59" s="67">
        <v>14</v>
      </c>
      <c r="C59" s="67"/>
      <c r="D59" s="55" t="s">
        <v>1278</v>
      </c>
      <c r="E59" s="71" t="s">
        <v>1262</v>
      </c>
      <c r="F59" s="71" t="s">
        <v>1263</v>
      </c>
      <c r="G59" s="68">
        <v>46149</v>
      </c>
      <c r="H59" s="68">
        <v>46162</v>
      </c>
      <c r="I59" s="69">
        <v>68556</v>
      </c>
      <c r="J59" s="81"/>
      <c r="K59" s="82"/>
      <c r="L59" s="70">
        <f t="shared" si="5"/>
        <v>68556</v>
      </c>
      <c r="M59" s="70"/>
      <c r="N59" s="67"/>
      <c r="O59" s="67"/>
    </row>
    <row r="60" spans="2:15" ht="15.75" x14ac:dyDescent="0.25">
      <c r="B60" s="67">
        <v>15</v>
      </c>
      <c r="C60" s="67"/>
      <c r="D60" s="55" t="s">
        <v>1279</v>
      </c>
      <c r="E60" s="71" t="s">
        <v>1271</v>
      </c>
      <c r="F60" s="71" t="s">
        <v>1269</v>
      </c>
      <c r="G60" s="68">
        <v>46149</v>
      </c>
      <c r="H60" s="68">
        <v>46162</v>
      </c>
      <c r="I60" s="69">
        <v>94800</v>
      </c>
      <c r="J60" s="81"/>
      <c r="K60" s="82"/>
      <c r="L60" s="70">
        <f t="shared" si="5"/>
        <v>94800</v>
      </c>
      <c r="M60" s="70"/>
      <c r="N60" s="16"/>
      <c r="O60" s="67"/>
    </row>
    <row r="61" spans="2:15" ht="15.75" x14ac:dyDescent="0.25">
      <c r="B61" s="67">
        <v>16</v>
      </c>
      <c r="C61" s="67"/>
      <c r="D61" s="55" t="s">
        <v>1280</v>
      </c>
      <c r="E61" s="71" t="s">
        <v>1268</v>
      </c>
      <c r="F61" s="71" t="s">
        <v>1269</v>
      </c>
      <c r="G61" s="68">
        <v>46149</v>
      </c>
      <c r="H61" s="68">
        <v>46162</v>
      </c>
      <c r="I61" s="69">
        <v>52800</v>
      </c>
      <c r="J61" s="81"/>
      <c r="K61" s="82"/>
      <c r="L61" s="70">
        <f t="shared" si="5"/>
        <v>52800</v>
      </c>
      <c r="M61" s="70"/>
      <c r="N61" s="16"/>
      <c r="O61" s="67"/>
    </row>
    <row r="62" spans="2:15" ht="15.75" x14ac:dyDescent="0.25">
      <c r="B62" s="67">
        <v>17</v>
      </c>
      <c r="C62" s="67"/>
      <c r="D62" s="86" t="s">
        <v>1281</v>
      </c>
      <c r="E62" s="71" t="s">
        <v>1282</v>
      </c>
      <c r="F62" s="71" t="s">
        <v>498</v>
      </c>
      <c r="G62" s="68">
        <v>46149</v>
      </c>
      <c r="H62" s="68">
        <v>46162</v>
      </c>
      <c r="I62" s="69">
        <v>1165500</v>
      </c>
      <c r="J62" s="81"/>
      <c r="K62" s="78"/>
      <c r="L62" s="70">
        <f t="shared" si="5"/>
        <v>1165500</v>
      </c>
      <c r="M62" s="70"/>
      <c r="N62" s="16"/>
      <c r="O62" s="67"/>
    </row>
    <row r="63" spans="2:15" ht="15.75" x14ac:dyDescent="0.25">
      <c r="B63" s="157" t="s">
        <v>12</v>
      </c>
      <c r="C63" s="158"/>
      <c r="D63" s="158"/>
      <c r="E63" s="158"/>
      <c r="F63" s="158"/>
      <c r="G63" s="158"/>
      <c r="H63" s="158"/>
      <c r="I63" s="159"/>
      <c r="J63" s="107">
        <f>SUM(J46:J62)</f>
        <v>5472000</v>
      </c>
      <c r="K63" s="60">
        <f>SUM(K46:K62)</f>
        <v>0</v>
      </c>
      <c r="L63" s="61">
        <f>SUM(L46:L62)</f>
        <v>1499656</v>
      </c>
      <c r="M63" s="61">
        <f>SUM(M46:M62)</f>
        <v>0</v>
      </c>
      <c r="N63" s="62"/>
      <c r="O63" s="63">
        <f>SUM(J63+K63+L63+M63)</f>
        <v>6971656</v>
      </c>
    </row>
    <row r="64" spans="2:15" x14ac:dyDescent="0.25">
      <c r="D64" s="42"/>
      <c r="I64" s="43"/>
      <c r="J64" s="43"/>
    </row>
    <row r="65" spans="2:15" x14ac:dyDescent="0.25">
      <c r="D65" s="42"/>
      <c r="I65" s="43"/>
      <c r="J65" s="43"/>
    </row>
    <row r="66" spans="2:15" ht="15.75" x14ac:dyDescent="0.25">
      <c r="D66" s="42"/>
      <c r="G66" s="150" t="s">
        <v>23</v>
      </c>
      <c r="H66" s="150"/>
      <c r="I66" s="150"/>
      <c r="J66" s="108">
        <f>SUM(J63+J44+J21)</f>
        <v>18043700</v>
      </c>
      <c r="K66" s="18">
        <f>SUM(K63+K44+K21)</f>
        <v>0</v>
      </c>
      <c r="L66" s="40">
        <f>SUM(L63+L44+L21)</f>
        <v>5550774</v>
      </c>
      <c r="M66" s="40"/>
      <c r="N66" s="28"/>
      <c r="O66" s="21">
        <f>SUM(J66+K66+L66+M66)</f>
        <v>23594474</v>
      </c>
    </row>
    <row r="67" spans="2:15" x14ac:dyDescent="0.25">
      <c r="D67" s="42"/>
      <c r="I67" s="43"/>
      <c r="J67" s="43"/>
    </row>
    <row r="68" spans="2:15" x14ac:dyDescent="0.25">
      <c r="B68" s="160" t="s">
        <v>24</v>
      </c>
      <c r="C68" s="160"/>
      <c r="D68" s="160"/>
      <c r="I68" s="43"/>
      <c r="J68" s="43"/>
    </row>
    <row r="69" spans="2:15" ht="15.75" x14ac:dyDescent="0.25">
      <c r="B69" s="154" t="s">
        <v>3</v>
      </c>
      <c r="C69" s="161" t="s">
        <v>25</v>
      </c>
      <c r="D69" s="154" t="s">
        <v>5</v>
      </c>
      <c r="E69" s="154" t="s">
        <v>6</v>
      </c>
      <c r="F69" s="154" t="s">
        <v>7</v>
      </c>
      <c r="G69" s="154" t="s">
        <v>8</v>
      </c>
      <c r="H69" s="154" t="s">
        <v>9</v>
      </c>
      <c r="I69" s="161" t="s">
        <v>26</v>
      </c>
      <c r="J69" s="122" t="s">
        <v>11</v>
      </c>
      <c r="K69" s="123"/>
      <c r="L69" s="123"/>
      <c r="M69" s="123"/>
      <c r="N69" s="124"/>
      <c r="O69" s="133" t="s">
        <v>12</v>
      </c>
    </row>
    <row r="70" spans="2:15" ht="15.75" x14ac:dyDescent="0.25">
      <c r="B70" s="155"/>
      <c r="C70" s="162"/>
      <c r="D70" s="155"/>
      <c r="E70" s="155"/>
      <c r="F70" s="155"/>
      <c r="G70" s="155"/>
      <c r="H70" s="155"/>
      <c r="I70" s="162"/>
      <c r="J70" s="135" t="s">
        <v>14</v>
      </c>
      <c r="K70" s="136"/>
      <c r="L70" s="137" t="s">
        <v>15</v>
      </c>
      <c r="M70" s="138"/>
      <c r="N70" s="6" t="s">
        <v>16</v>
      </c>
      <c r="O70" s="134"/>
    </row>
    <row r="71" spans="2:15" ht="15.75" x14ac:dyDescent="0.25">
      <c r="B71" s="83"/>
      <c r="C71" s="84"/>
      <c r="D71" s="83"/>
      <c r="E71" s="83"/>
      <c r="F71" s="83"/>
      <c r="G71" s="83"/>
      <c r="H71" s="83"/>
      <c r="I71" s="84"/>
      <c r="J71" s="101" t="s">
        <v>24</v>
      </c>
      <c r="K71" s="4" t="s">
        <v>1139</v>
      </c>
      <c r="L71" s="5" t="s">
        <v>24</v>
      </c>
      <c r="M71" s="5" t="s">
        <v>1139</v>
      </c>
      <c r="N71" s="6"/>
      <c r="O71" s="85"/>
    </row>
    <row r="72" spans="2:15" ht="15" customHeight="1" x14ac:dyDescent="0.25">
      <c r="B72" s="27">
        <v>1</v>
      </c>
      <c r="C72" s="31" t="s">
        <v>146</v>
      </c>
      <c r="D72" s="45" t="s">
        <v>1283</v>
      </c>
      <c r="E72" s="46" t="s">
        <v>1284</v>
      </c>
      <c r="F72" s="46" t="s">
        <v>1285</v>
      </c>
      <c r="G72" s="47">
        <v>46162</v>
      </c>
      <c r="H72" s="47"/>
      <c r="I72" s="48">
        <v>20910000</v>
      </c>
      <c r="J72" s="98">
        <f>I72</f>
        <v>20910000</v>
      </c>
      <c r="K72" s="49"/>
      <c r="L72" s="50"/>
      <c r="M72" s="50"/>
      <c r="N72" s="16" t="s">
        <v>89</v>
      </c>
      <c r="O72" s="17"/>
    </row>
    <row r="73" spans="2:15" ht="15" customHeight="1" x14ac:dyDescent="0.25">
      <c r="B73" s="27">
        <v>2</v>
      </c>
      <c r="C73" s="31" t="s">
        <v>146</v>
      </c>
      <c r="D73" s="51" t="s">
        <v>1286</v>
      </c>
      <c r="E73" s="51" t="s">
        <v>1156</v>
      </c>
      <c r="F73" s="17" t="s">
        <v>1154</v>
      </c>
      <c r="G73" s="47">
        <v>46162</v>
      </c>
      <c r="H73" s="52"/>
      <c r="I73" s="16">
        <v>69498</v>
      </c>
      <c r="J73" s="98"/>
      <c r="K73" s="49"/>
      <c r="L73" s="15">
        <f>I73</f>
        <v>69498</v>
      </c>
      <c r="M73" s="50"/>
      <c r="N73" s="16" t="s">
        <v>89</v>
      </c>
      <c r="O73" s="17"/>
    </row>
    <row r="74" spans="2:15" ht="15.75" x14ac:dyDescent="0.25">
      <c r="B74" s="122" t="s">
        <v>27</v>
      </c>
      <c r="C74" s="123"/>
      <c r="D74" s="123"/>
      <c r="E74" s="123"/>
      <c r="F74" s="123"/>
      <c r="G74" s="123"/>
      <c r="H74" s="123"/>
      <c r="I74" s="124"/>
      <c r="J74" s="106">
        <f>SUM(J72:J73)</f>
        <v>20910000</v>
      </c>
      <c r="K74" s="39">
        <f>SUM(K72:K73)</f>
        <v>0</v>
      </c>
      <c r="L74" s="40">
        <f>SUM(L72:L73)</f>
        <v>69498</v>
      </c>
      <c r="M74" s="40">
        <f>SUM(M72:M73)</f>
        <v>0</v>
      </c>
      <c r="N74" s="28"/>
      <c r="O74" s="41">
        <f>SUM(J74+K74+L74+M74)</f>
        <v>20979498</v>
      </c>
    </row>
    <row r="75" spans="2:15" ht="15.75" x14ac:dyDescent="0.25">
      <c r="B75" s="139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</row>
    <row r="76" spans="2:15" x14ac:dyDescent="0.25">
      <c r="B76" s="55">
        <v>1</v>
      </c>
      <c r="C76" s="8" t="s">
        <v>87</v>
      </c>
      <c r="D76" s="51" t="s">
        <v>1287</v>
      </c>
      <c r="E76" s="51" t="s">
        <v>1288</v>
      </c>
      <c r="F76" s="17" t="s">
        <v>72</v>
      </c>
      <c r="G76" s="47">
        <v>46162</v>
      </c>
      <c r="H76" s="52"/>
      <c r="I76" s="16">
        <v>860000</v>
      </c>
      <c r="J76" s="100">
        <f>I76</f>
        <v>860000</v>
      </c>
      <c r="K76" s="49"/>
      <c r="L76" s="50"/>
      <c r="M76" s="50"/>
      <c r="N76" s="16"/>
      <c r="O76" s="17"/>
    </row>
    <row r="77" spans="2:15" x14ac:dyDescent="0.25">
      <c r="B77" s="55">
        <v>2</v>
      </c>
      <c r="C77" s="8" t="s">
        <v>87</v>
      </c>
      <c r="D77" s="51" t="s">
        <v>1289</v>
      </c>
      <c r="E77" s="51" t="s">
        <v>319</v>
      </c>
      <c r="F77" s="17" t="s">
        <v>72</v>
      </c>
      <c r="G77" s="47">
        <v>46162</v>
      </c>
      <c r="H77" s="52"/>
      <c r="I77" s="16">
        <v>1111000</v>
      </c>
      <c r="J77" s="100">
        <f t="shared" ref="J77:J82" si="6">I77</f>
        <v>1111000</v>
      </c>
      <c r="K77" s="49"/>
      <c r="L77" s="15"/>
      <c r="M77" s="15"/>
      <c r="N77" s="16"/>
      <c r="O77" s="17"/>
    </row>
    <row r="78" spans="2:15" x14ac:dyDescent="0.25">
      <c r="B78" s="55">
        <v>3</v>
      </c>
      <c r="C78" s="8" t="s">
        <v>87</v>
      </c>
      <c r="D78" s="51" t="s">
        <v>1290</v>
      </c>
      <c r="E78" s="51" t="s">
        <v>253</v>
      </c>
      <c r="F78" s="17" t="s">
        <v>254</v>
      </c>
      <c r="G78" s="47">
        <v>46162</v>
      </c>
      <c r="H78" s="52"/>
      <c r="I78" s="16">
        <v>971100</v>
      </c>
      <c r="J78" s="100">
        <f t="shared" si="6"/>
        <v>971100</v>
      </c>
      <c r="K78" s="49"/>
      <c r="L78" s="50"/>
      <c r="M78" s="50"/>
      <c r="N78" s="16"/>
      <c r="O78" s="17"/>
    </row>
    <row r="79" spans="2:15" x14ac:dyDescent="0.25">
      <c r="B79" s="55">
        <v>4</v>
      </c>
      <c r="C79" s="8" t="s">
        <v>234</v>
      </c>
      <c r="D79" s="51" t="s">
        <v>1291</v>
      </c>
      <c r="E79" s="51" t="s">
        <v>1292</v>
      </c>
      <c r="F79" s="17" t="s">
        <v>251</v>
      </c>
      <c r="G79" s="47">
        <v>46162</v>
      </c>
      <c r="H79" s="52"/>
      <c r="I79" s="16">
        <v>758500</v>
      </c>
      <c r="J79" s="100">
        <f t="shared" si="6"/>
        <v>758500</v>
      </c>
      <c r="K79" s="49"/>
      <c r="L79" s="50"/>
      <c r="M79" s="50"/>
      <c r="N79" s="16"/>
      <c r="O79" s="17"/>
    </row>
    <row r="80" spans="2:15" x14ac:dyDescent="0.25">
      <c r="B80" s="55">
        <v>5</v>
      </c>
      <c r="C80" s="8" t="s">
        <v>234</v>
      </c>
      <c r="D80" s="51" t="s">
        <v>1293</v>
      </c>
      <c r="E80" s="51" t="s">
        <v>334</v>
      </c>
      <c r="F80" s="17" t="s">
        <v>335</v>
      </c>
      <c r="G80" s="47">
        <v>46162</v>
      </c>
      <c r="H80" s="52"/>
      <c r="I80" s="16">
        <v>215100</v>
      </c>
      <c r="J80" s="100">
        <f t="shared" si="6"/>
        <v>215100</v>
      </c>
      <c r="K80" s="49"/>
      <c r="L80" s="50"/>
      <c r="M80" s="50"/>
      <c r="N80" s="16"/>
      <c r="O80" s="17"/>
    </row>
    <row r="81" spans="1:15" x14ac:dyDescent="0.25">
      <c r="B81" s="55">
        <v>6</v>
      </c>
      <c r="C81" s="8" t="s">
        <v>234</v>
      </c>
      <c r="D81" s="51" t="s">
        <v>1294</v>
      </c>
      <c r="E81" s="51" t="s">
        <v>1295</v>
      </c>
      <c r="F81" s="17" t="s">
        <v>251</v>
      </c>
      <c r="G81" s="47">
        <v>46162</v>
      </c>
      <c r="H81" s="52"/>
      <c r="I81" s="16">
        <v>10455000</v>
      </c>
      <c r="J81" s="100">
        <f t="shared" si="6"/>
        <v>10455000</v>
      </c>
      <c r="K81" s="49"/>
      <c r="L81" s="15"/>
      <c r="M81" s="15"/>
      <c r="N81" s="16"/>
      <c r="O81" s="17"/>
    </row>
    <row r="82" spans="1:15" x14ac:dyDescent="0.25">
      <c r="B82" s="55">
        <v>7</v>
      </c>
      <c r="C82" s="8" t="s">
        <v>234</v>
      </c>
      <c r="D82" s="51" t="s">
        <v>1296</v>
      </c>
      <c r="E82" s="51" t="s">
        <v>1297</v>
      </c>
      <c r="F82" s="17" t="s">
        <v>251</v>
      </c>
      <c r="G82" s="47">
        <v>46162</v>
      </c>
      <c r="H82" s="52"/>
      <c r="I82" s="16">
        <v>5363000</v>
      </c>
      <c r="J82" s="100">
        <f t="shared" si="6"/>
        <v>5363000</v>
      </c>
      <c r="K82" s="49"/>
      <c r="L82" s="15"/>
      <c r="M82" s="15"/>
      <c r="N82" s="16"/>
      <c r="O82" s="17"/>
    </row>
    <row r="83" spans="1:15" x14ac:dyDescent="0.25">
      <c r="B83" s="55">
        <v>8</v>
      </c>
      <c r="C83" s="8"/>
      <c r="D83" s="51"/>
      <c r="E83" s="51"/>
      <c r="F83" s="17"/>
      <c r="G83" s="47"/>
      <c r="H83" s="52"/>
      <c r="I83" s="16"/>
      <c r="J83" s="100"/>
      <c r="K83" s="49"/>
      <c r="L83" s="15"/>
      <c r="M83" s="15"/>
      <c r="N83" s="16"/>
      <c r="O83" s="17"/>
    </row>
    <row r="84" spans="1:15" x14ac:dyDescent="0.25">
      <c r="B84" s="55">
        <v>9</v>
      </c>
      <c r="C84" s="8"/>
      <c r="D84" s="51"/>
      <c r="E84" s="51"/>
      <c r="F84" s="17"/>
      <c r="G84" s="47"/>
      <c r="H84" s="52"/>
      <c r="I84" s="16"/>
      <c r="J84" s="100"/>
      <c r="K84" s="49"/>
      <c r="L84" s="15"/>
      <c r="M84" s="15"/>
      <c r="N84" s="16"/>
      <c r="O84" s="17"/>
    </row>
    <row r="85" spans="1:15" x14ac:dyDescent="0.25">
      <c r="B85" s="55">
        <v>10</v>
      </c>
      <c r="C85" s="8"/>
      <c r="D85" s="51"/>
      <c r="E85" s="51"/>
      <c r="F85" s="17"/>
      <c r="G85" s="47"/>
      <c r="H85" s="52"/>
      <c r="I85" s="16"/>
      <c r="J85" s="100"/>
      <c r="K85" s="49"/>
      <c r="L85" s="15"/>
      <c r="M85" s="15"/>
      <c r="N85" s="16"/>
      <c r="O85" s="17"/>
    </row>
    <row r="86" spans="1:15" ht="15.75" x14ac:dyDescent="0.25">
      <c r="A86" t="s">
        <v>90</v>
      </c>
      <c r="B86" s="122" t="s">
        <v>27</v>
      </c>
      <c r="C86" s="123"/>
      <c r="D86" s="123"/>
      <c r="E86" s="123"/>
      <c r="F86" s="123"/>
      <c r="G86" s="123"/>
      <c r="H86" s="123"/>
      <c r="I86" s="124"/>
      <c r="J86" s="109">
        <f>SUM(J76:J85)</f>
        <v>19733700</v>
      </c>
      <c r="K86" s="39">
        <f>SUM(K76:K85)</f>
        <v>0</v>
      </c>
      <c r="L86" s="40">
        <f>SUM(L76:L85)</f>
        <v>0</v>
      </c>
      <c r="M86" s="40">
        <f>SUM(M76:M85)</f>
        <v>0</v>
      </c>
      <c r="N86" s="28"/>
      <c r="O86" s="41">
        <f>SUM(J86+K86+L86+M86)</f>
        <v>19733700</v>
      </c>
    </row>
    <row r="87" spans="1:15" x14ac:dyDescent="0.25">
      <c r="D87" s="42"/>
      <c r="I87" s="43"/>
      <c r="J87" s="43"/>
    </row>
    <row r="88" spans="1:15" ht="15.75" x14ac:dyDescent="0.25">
      <c r="D88" s="42"/>
      <c r="H88" s="122" t="s">
        <v>28</v>
      </c>
      <c r="I88" s="124"/>
      <c r="J88" s="106">
        <f>SUM(J86+J74)</f>
        <v>40643700</v>
      </c>
      <c r="K88" s="39">
        <f>SUM(K86+K74)</f>
        <v>0</v>
      </c>
      <c r="L88" s="40">
        <f>SUM(L86+L74)</f>
        <v>69498</v>
      </c>
      <c r="M88" s="40">
        <v>0</v>
      </c>
      <c r="N88" s="28"/>
      <c r="O88" s="99">
        <f>SUM(J88+K88+L88+M88)</f>
        <v>40713198</v>
      </c>
    </row>
    <row r="89" spans="1:15" ht="15.75" x14ac:dyDescent="0.25">
      <c r="D89" s="42"/>
      <c r="H89" s="87"/>
      <c r="I89" s="87"/>
      <c r="J89" s="87"/>
      <c r="K89" s="102"/>
      <c r="L89" s="102"/>
      <c r="M89" s="102"/>
      <c r="N89" s="103"/>
      <c r="O89" s="104"/>
    </row>
    <row r="90" spans="1:15" ht="15.75" x14ac:dyDescent="0.25">
      <c r="D90" s="42"/>
      <c r="H90" s="125" t="s">
        <v>29</v>
      </c>
      <c r="I90" s="126"/>
      <c r="J90" s="131" t="s">
        <v>14</v>
      </c>
      <c r="K90" s="131"/>
      <c r="L90" s="132" t="s">
        <v>15</v>
      </c>
      <c r="M90" s="132"/>
      <c r="N90" s="17"/>
      <c r="O90" s="116"/>
    </row>
    <row r="91" spans="1:15" ht="15.75" x14ac:dyDescent="0.25">
      <c r="D91" s="42"/>
      <c r="H91" s="127"/>
      <c r="I91" s="128"/>
      <c r="J91" s="4" t="s">
        <v>24</v>
      </c>
      <c r="K91" s="66" t="s">
        <v>1139</v>
      </c>
      <c r="L91" s="105" t="s">
        <v>24</v>
      </c>
      <c r="M91" s="105" t="s">
        <v>1139</v>
      </c>
      <c r="N91" s="17"/>
      <c r="O91" s="116"/>
    </row>
    <row r="92" spans="1:15" ht="15.75" x14ac:dyDescent="0.25">
      <c r="D92" s="42"/>
      <c r="H92" s="129"/>
      <c r="I92" s="130"/>
      <c r="J92" s="39">
        <f>SUM(J66,J88)</f>
        <v>58687400</v>
      </c>
      <c r="K92" s="39">
        <f>SUM(K88+K66)</f>
        <v>0</v>
      </c>
      <c r="L92" s="40">
        <f>SUM(L88+L66)</f>
        <v>5620272</v>
      </c>
      <c r="M92" s="40">
        <v>0</v>
      </c>
      <c r="N92" s="28"/>
      <c r="O92" s="116"/>
    </row>
    <row r="93" spans="1:15" x14ac:dyDescent="0.25">
      <c r="D93" s="42"/>
      <c r="I93" s="43"/>
      <c r="J93" s="43"/>
    </row>
    <row r="94" spans="1:15" ht="18.75" x14ac:dyDescent="0.3">
      <c r="D94" s="42"/>
      <c r="H94" s="117"/>
      <c r="I94" s="117"/>
      <c r="J94" s="111"/>
      <c r="L94" s="118" t="s">
        <v>1141</v>
      </c>
      <c r="M94" s="119"/>
      <c r="N94" s="112">
        <f>SUM(I92+K92)</f>
        <v>0</v>
      </c>
      <c r="O94" s="120">
        <f>SUM(N94+N95)</f>
        <v>64307672</v>
      </c>
    </row>
    <row r="95" spans="1:15" ht="18.75" x14ac:dyDescent="0.3">
      <c r="D95" s="42"/>
      <c r="H95" s="117"/>
      <c r="I95" s="117"/>
      <c r="J95" s="111"/>
      <c r="L95" s="118" t="s">
        <v>1142</v>
      </c>
      <c r="M95" s="119"/>
      <c r="N95" s="112">
        <f>SUM(J92+L92)</f>
        <v>64307672</v>
      </c>
      <c r="O95" s="121"/>
    </row>
    <row r="96" spans="1:15" ht="18.75" x14ac:dyDescent="0.3">
      <c r="D96" s="42"/>
      <c r="H96" s="115"/>
      <c r="I96" s="115"/>
      <c r="J96" s="113"/>
      <c r="K96" s="114"/>
    </row>
    <row r="97" spans="4:11" x14ac:dyDescent="0.25">
      <c r="D97" s="2" t="s">
        <v>30</v>
      </c>
      <c r="E97" s="1"/>
      <c r="F97" s="1"/>
      <c r="G97" s="1"/>
      <c r="H97" s="1"/>
      <c r="I97" s="1"/>
      <c r="J97" s="1"/>
      <c r="K97" s="1"/>
    </row>
    <row r="98" spans="4:11" x14ac:dyDescent="0.25">
      <c r="D98" s="2"/>
      <c r="E98" s="1"/>
      <c r="F98" s="1"/>
      <c r="G98" s="1"/>
      <c r="H98" s="1"/>
      <c r="I98" s="1"/>
      <c r="J98" s="1"/>
      <c r="K98" s="1"/>
    </row>
    <row r="99" spans="4:11" x14ac:dyDescent="0.25">
      <c r="D99" s="3" t="s">
        <v>31</v>
      </c>
      <c r="E99" s="3"/>
      <c r="F99" s="3" t="s">
        <v>32</v>
      </c>
      <c r="G99" s="3"/>
      <c r="H99" s="3" t="s">
        <v>33</v>
      </c>
      <c r="I99" s="3"/>
      <c r="J99" s="3"/>
      <c r="K99" s="3" t="s">
        <v>34</v>
      </c>
    </row>
    <row r="100" spans="4:11" x14ac:dyDescent="0.25">
      <c r="D100" s="3"/>
      <c r="E100" s="3"/>
      <c r="F100" s="3"/>
      <c r="G100" s="3"/>
      <c r="H100" s="3"/>
      <c r="I100" s="3"/>
      <c r="J100" s="3"/>
      <c r="K100" s="3"/>
    </row>
    <row r="101" spans="4:11" x14ac:dyDescent="0.25">
      <c r="D101" s="3"/>
      <c r="E101" s="3"/>
      <c r="F101" s="3"/>
      <c r="G101" s="3"/>
      <c r="H101" s="3"/>
      <c r="I101" s="3"/>
      <c r="J101" s="3"/>
      <c r="K101" s="3"/>
    </row>
    <row r="102" spans="4:11" x14ac:dyDescent="0.25">
      <c r="D102" s="3"/>
      <c r="E102" s="3"/>
      <c r="F102" s="3"/>
      <c r="G102" s="3"/>
      <c r="H102" s="3"/>
      <c r="I102" s="3"/>
      <c r="J102" s="3"/>
      <c r="K102" s="3"/>
    </row>
    <row r="103" spans="4:11" x14ac:dyDescent="0.25">
      <c r="D103" s="3" t="s">
        <v>35</v>
      </c>
      <c r="E103" s="3"/>
      <c r="F103" s="3" t="s">
        <v>36</v>
      </c>
      <c r="G103" s="3"/>
      <c r="H103" s="3" t="s">
        <v>36</v>
      </c>
      <c r="I103" s="3"/>
      <c r="J103" s="3"/>
      <c r="K103" s="3" t="s">
        <v>37</v>
      </c>
    </row>
    <row r="104" spans="4:11" x14ac:dyDescent="0.25">
      <c r="D104" s="42"/>
    </row>
    <row r="105" spans="4:11" x14ac:dyDescent="0.25">
      <c r="D105" s="42"/>
    </row>
    <row r="106" spans="4:11" x14ac:dyDescent="0.25">
      <c r="D106" s="42"/>
    </row>
    <row r="107" spans="4:11" x14ac:dyDescent="0.25">
      <c r="D107" s="42"/>
    </row>
    <row r="108" spans="4:11" x14ac:dyDescent="0.25">
      <c r="D108" s="42"/>
    </row>
  </sheetData>
  <mergeCells count="48">
    <mergeCell ref="H94:I94"/>
    <mergeCell ref="L94:M94"/>
    <mergeCell ref="O94:O95"/>
    <mergeCell ref="H95:I95"/>
    <mergeCell ref="L95:M95"/>
    <mergeCell ref="H96:I96"/>
    <mergeCell ref="B74:I74"/>
    <mergeCell ref="B75:O75"/>
    <mergeCell ref="B86:I86"/>
    <mergeCell ref="H88:I88"/>
    <mergeCell ref="H90:I92"/>
    <mergeCell ref="J90:K90"/>
    <mergeCell ref="L90:M90"/>
    <mergeCell ref="O90:O92"/>
    <mergeCell ref="H69:H70"/>
    <mergeCell ref="I69:I70"/>
    <mergeCell ref="J69:N69"/>
    <mergeCell ref="O69:O70"/>
    <mergeCell ref="J70:K70"/>
    <mergeCell ref="L70:M70"/>
    <mergeCell ref="B69:B70"/>
    <mergeCell ref="C69:C70"/>
    <mergeCell ref="D69:D70"/>
    <mergeCell ref="E69:E70"/>
    <mergeCell ref="F69:F70"/>
    <mergeCell ref="G69:G70"/>
    <mergeCell ref="B22:O22"/>
    <mergeCell ref="B44:I44"/>
    <mergeCell ref="B45:O45"/>
    <mergeCell ref="B63:I63"/>
    <mergeCell ref="G66:I66"/>
    <mergeCell ref="B68:D68"/>
    <mergeCell ref="I6:I7"/>
    <mergeCell ref="J6:N6"/>
    <mergeCell ref="O6:O7"/>
    <mergeCell ref="J7:K7"/>
    <mergeCell ref="L7:M7"/>
    <mergeCell ref="B21:I21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67A8-1E1D-444D-AD0F-5C3C2815266C}">
  <dimension ref="A2:Q108"/>
  <sheetViews>
    <sheetView workbookViewId="0">
      <selection sqref="A1:XFD1048576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152" t="s">
        <v>1</v>
      </c>
      <c r="C3" s="152"/>
      <c r="D3" s="152"/>
    </row>
    <row r="4" spans="2:17" x14ac:dyDescent="0.25">
      <c r="K4" s="1"/>
      <c r="L4" s="149" t="s">
        <v>1045</v>
      </c>
      <c r="M4" s="149"/>
      <c r="N4" s="149"/>
      <c r="O4" s="149"/>
    </row>
    <row r="5" spans="2:17" x14ac:dyDescent="0.25">
      <c r="B5" s="153" t="s">
        <v>2</v>
      </c>
      <c r="C5" s="153"/>
      <c r="D5" s="153"/>
      <c r="Q5" t="s">
        <v>90</v>
      </c>
    </row>
    <row r="6" spans="2:17" ht="15.75" x14ac:dyDescent="0.25">
      <c r="B6" s="154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 t="s">
        <v>8</v>
      </c>
      <c r="H6" s="125" t="s">
        <v>9</v>
      </c>
      <c r="I6" s="156" t="s">
        <v>10</v>
      </c>
      <c r="J6" s="122" t="s">
        <v>11</v>
      </c>
      <c r="K6" s="123"/>
      <c r="L6" s="123"/>
      <c r="M6" s="123"/>
      <c r="N6" s="124"/>
      <c r="O6" s="133" t="s">
        <v>12</v>
      </c>
    </row>
    <row r="7" spans="2:17" ht="15.75" x14ac:dyDescent="0.25">
      <c r="B7" s="155"/>
      <c r="C7" s="155"/>
      <c r="D7" s="155"/>
      <c r="E7" s="155"/>
      <c r="F7" s="155"/>
      <c r="G7" s="155"/>
      <c r="H7" s="129"/>
      <c r="I7" s="156"/>
      <c r="J7" s="151" t="s">
        <v>14</v>
      </c>
      <c r="K7" s="151"/>
      <c r="L7" s="137" t="s">
        <v>15</v>
      </c>
      <c r="M7" s="138"/>
      <c r="N7" s="6" t="s">
        <v>16</v>
      </c>
      <c r="O7" s="134"/>
    </row>
    <row r="8" spans="2:17" ht="15.75" x14ac:dyDescent="0.25">
      <c r="B8" s="83"/>
      <c r="C8" s="83"/>
      <c r="D8" s="88"/>
      <c r="E8" s="88"/>
      <c r="F8" s="88"/>
      <c r="G8" s="88"/>
      <c r="H8" s="88"/>
      <c r="I8" s="92"/>
      <c r="J8" s="4" t="s">
        <v>24</v>
      </c>
      <c r="K8" s="4" t="s">
        <v>1139</v>
      </c>
      <c r="L8" s="5" t="s">
        <v>24</v>
      </c>
      <c r="M8" s="5" t="s">
        <v>1139</v>
      </c>
      <c r="N8" s="6"/>
      <c r="O8" s="85"/>
    </row>
    <row r="9" spans="2:17" x14ac:dyDescent="0.25">
      <c r="B9" s="7">
        <v>1</v>
      </c>
      <c r="C9" s="8" t="s">
        <v>17</v>
      </c>
      <c r="D9" s="9"/>
      <c r="E9" s="10"/>
      <c r="F9" s="11"/>
      <c r="G9" s="12"/>
      <c r="H9" s="12"/>
      <c r="I9" s="93"/>
      <c r="J9" s="95"/>
      <c r="K9" s="14"/>
      <c r="L9" s="90"/>
      <c r="M9" s="90"/>
      <c r="N9" s="91"/>
      <c r="O9" s="16"/>
    </row>
    <row r="10" spans="2:17" x14ac:dyDescent="0.25">
      <c r="B10" s="7">
        <v>2</v>
      </c>
      <c r="C10" s="8"/>
      <c r="D10" s="9"/>
      <c r="E10" s="10"/>
      <c r="F10" s="11"/>
      <c r="G10" s="12"/>
      <c r="H10" s="12"/>
      <c r="I10" s="94"/>
      <c r="J10" s="95"/>
      <c r="K10" s="14"/>
      <c r="L10" s="15"/>
      <c r="M10" s="15"/>
      <c r="N10" s="16"/>
      <c r="O10" s="16"/>
    </row>
    <row r="11" spans="2:17" x14ac:dyDescent="0.25">
      <c r="B11" s="7">
        <v>3</v>
      </c>
      <c r="C11" s="8"/>
      <c r="D11" s="9"/>
      <c r="E11" s="10"/>
      <c r="F11" s="11"/>
      <c r="G11" s="12"/>
      <c r="H11" s="12"/>
      <c r="I11" s="94"/>
      <c r="J11" s="95"/>
      <c r="K11" s="14"/>
      <c r="L11" s="15"/>
      <c r="M11" s="15"/>
      <c r="N11" s="16"/>
      <c r="O11" s="16"/>
    </row>
    <row r="12" spans="2:17" x14ac:dyDescent="0.25">
      <c r="B12" s="7">
        <v>5</v>
      </c>
      <c r="C12" s="8"/>
      <c r="D12" s="9"/>
      <c r="E12" s="10"/>
      <c r="F12" s="11"/>
      <c r="G12" s="12"/>
      <c r="H12" s="12"/>
      <c r="I12" s="94"/>
      <c r="J12" s="95"/>
      <c r="K12" s="14"/>
      <c r="L12" s="15"/>
      <c r="M12" s="15"/>
      <c r="N12" s="16"/>
      <c r="O12" s="16"/>
    </row>
    <row r="13" spans="2:17" x14ac:dyDescent="0.25">
      <c r="B13" s="7">
        <v>6</v>
      </c>
      <c r="C13" s="8"/>
      <c r="D13" s="9"/>
      <c r="E13" s="10"/>
      <c r="F13" s="11"/>
      <c r="G13" s="12"/>
      <c r="H13" s="12"/>
      <c r="I13" s="94"/>
      <c r="J13" s="95"/>
      <c r="K13" s="14"/>
      <c r="L13" s="15"/>
      <c r="M13" s="15"/>
      <c r="N13" s="16"/>
      <c r="O13" s="16"/>
    </row>
    <row r="14" spans="2:17" x14ac:dyDescent="0.25">
      <c r="B14" s="7">
        <v>7</v>
      </c>
      <c r="C14" s="8"/>
      <c r="D14" s="9"/>
      <c r="E14" s="10"/>
      <c r="F14" s="11"/>
      <c r="G14" s="12"/>
      <c r="H14" s="12"/>
      <c r="I14" s="94"/>
      <c r="J14" s="95"/>
      <c r="K14" s="14"/>
      <c r="L14" s="15"/>
      <c r="M14" s="15"/>
      <c r="N14" s="16"/>
      <c r="O14" s="16"/>
    </row>
    <row r="15" spans="2:17" x14ac:dyDescent="0.25">
      <c r="B15" s="7">
        <v>8</v>
      </c>
      <c r="C15" s="8"/>
      <c r="D15" s="9"/>
      <c r="E15" s="10"/>
      <c r="F15" s="11"/>
      <c r="G15" s="12"/>
      <c r="H15" s="12"/>
      <c r="I15" s="94"/>
      <c r="J15" s="95"/>
      <c r="K15" s="14"/>
      <c r="L15" s="15"/>
      <c r="M15" s="15"/>
      <c r="N15" s="16"/>
      <c r="O15" s="16"/>
    </row>
    <row r="16" spans="2:17" x14ac:dyDescent="0.25">
      <c r="B16" s="7">
        <v>11</v>
      </c>
      <c r="C16" s="8"/>
      <c r="D16" s="9"/>
      <c r="E16" s="10"/>
      <c r="F16" s="11"/>
      <c r="G16" s="12"/>
      <c r="H16" s="12"/>
      <c r="I16" s="94"/>
      <c r="J16" s="95"/>
      <c r="K16" s="14"/>
      <c r="L16" s="15"/>
      <c r="M16" s="15"/>
      <c r="N16" s="16"/>
      <c r="O16" s="16"/>
    </row>
    <row r="17" spans="2:15" x14ac:dyDescent="0.25">
      <c r="B17" s="7">
        <v>12</v>
      </c>
      <c r="C17" s="8"/>
      <c r="D17" s="9"/>
      <c r="E17" s="10"/>
      <c r="F17" s="11"/>
      <c r="G17" s="12"/>
      <c r="H17" s="12"/>
      <c r="I17" s="94"/>
      <c r="J17" s="95"/>
      <c r="K17" s="14"/>
      <c r="L17" s="15"/>
      <c r="M17" s="15"/>
      <c r="N17" s="16"/>
      <c r="O17" s="16"/>
    </row>
    <row r="18" spans="2:15" x14ac:dyDescent="0.25">
      <c r="B18" s="7">
        <v>14</v>
      </c>
      <c r="C18" s="8"/>
      <c r="D18" s="9"/>
      <c r="E18" s="10"/>
      <c r="F18" s="11"/>
      <c r="G18" s="12"/>
      <c r="H18" s="12"/>
      <c r="I18" s="94"/>
      <c r="J18" s="95"/>
      <c r="K18" s="14"/>
      <c r="L18" s="15"/>
      <c r="M18" s="15"/>
      <c r="N18" s="16"/>
      <c r="O18" s="16"/>
    </row>
    <row r="19" spans="2:15" x14ac:dyDescent="0.25">
      <c r="B19" s="7">
        <v>15</v>
      </c>
      <c r="C19" s="8"/>
      <c r="D19" s="9"/>
      <c r="E19" s="10"/>
      <c r="F19" s="11"/>
      <c r="G19" s="12"/>
      <c r="H19" s="12"/>
      <c r="I19" s="94"/>
      <c r="J19" s="95"/>
      <c r="K19" s="14"/>
      <c r="L19" s="15"/>
      <c r="M19" s="15"/>
      <c r="N19" s="16"/>
      <c r="O19" s="16"/>
    </row>
    <row r="20" spans="2:15" x14ac:dyDescent="0.25">
      <c r="B20" s="7">
        <v>16</v>
      </c>
      <c r="C20" s="8"/>
      <c r="D20" s="9"/>
      <c r="E20" s="10"/>
      <c r="F20" s="11"/>
      <c r="G20" s="12"/>
      <c r="H20" s="12"/>
      <c r="I20" s="94"/>
      <c r="J20" s="95"/>
      <c r="K20" s="14"/>
      <c r="L20" s="15"/>
      <c r="M20" s="15"/>
      <c r="N20" s="16"/>
      <c r="O20" s="16"/>
    </row>
    <row r="21" spans="2:15" x14ac:dyDescent="0.25">
      <c r="B21" s="7">
        <v>17</v>
      </c>
      <c r="C21" s="8"/>
      <c r="D21" s="9"/>
      <c r="E21" s="10"/>
      <c r="F21" s="11"/>
      <c r="G21" s="12"/>
      <c r="H21" s="12"/>
      <c r="I21" s="94"/>
      <c r="J21" s="95"/>
      <c r="K21" s="14"/>
      <c r="L21" s="15"/>
      <c r="M21" s="15"/>
      <c r="N21" s="16"/>
      <c r="O21" s="16"/>
    </row>
    <row r="22" spans="2:15" x14ac:dyDescent="0.25">
      <c r="B22" s="7">
        <v>18</v>
      </c>
      <c r="C22" s="8"/>
      <c r="D22" s="9"/>
      <c r="E22" s="10"/>
      <c r="F22" s="11"/>
      <c r="G22" s="12"/>
      <c r="H22" s="12"/>
      <c r="I22" s="94"/>
      <c r="J22" s="95"/>
      <c r="K22" s="14"/>
      <c r="L22" s="15"/>
      <c r="M22" s="15"/>
      <c r="N22" s="16"/>
      <c r="O22" s="16"/>
    </row>
    <row r="23" spans="2:15" x14ac:dyDescent="0.25">
      <c r="B23" s="7">
        <v>19</v>
      </c>
      <c r="C23" s="8"/>
      <c r="D23" s="9"/>
      <c r="E23" s="10"/>
      <c r="F23" s="11"/>
      <c r="G23" s="12"/>
      <c r="H23" s="12"/>
      <c r="I23" s="94"/>
      <c r="J23" s="95"/>
      <c r="K23" s="14"/>
      <c r="L23" s="15"/>
      <c r="M23" s="15"/>
      <c r="N23" s="16"/>
      <c r="O23" s="16"/>
    </row>
    <row r="24" spans="2:15" ht="15.75" x14ac:dyDescent="0.25">
      <c r="B24" s="122" t="s">
        <v>12</v>
      </c>
      <c r="C24" s="123"/>
      <c r="D24" s="123"/>
      <c r="E24" s="123"/>
      <c r="F24" s="123"/>
      <c r="G24" s="123"/>
      <c r="H24" s="123"/>
      <c r="I24" s="124"/>
      <c r="J24" s="106">
        <f>SUM(J9:J23)</f>
        <v>0</v>
      </c>
      <c r="K24" s="18">
        <f>SUM(K9:K23)</f>
        <v>0</v>
      </c>
      <c r="L24" s="19">
        <f>SUM(L9:L23)</f>
        <v>0</v>
      </c>
      <c r="M24" s="89">
        <f>SUM(M9:M23)</f>
        <v>0</v>
      </c>
      <c r="N24" s="20"/>
      <c r="O24" s="21">
        <f>SUM(J24+K24+L24+M24)</f>
        <v>0</v>
      </c>
    </row>
    <row r="25" spans="2:15" ht="15.75" x14ac:dyDescent="0.25">
      <c r="B25" s="141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</row>
    <row r="26" spans="2:15" x14ac:dyDescent="0.25">
      <c r="B26" s="7">
        <v>1</v>
      </c>
      <c r="C26" s="22" t="s">
        <v>21</v>
      </c>
      <c r="D26" s="9"/>
      <c r="E26" s="23"/>
      <c r="F26" s="24"/>
      <c r="G26" s="25"/>
      <c r="H26" s="96"/>
      <c r="I26" s="97"/>
      <c r="J26" s="98"/>
      <c r="K26" s="14"/>
      <c r="L26" s="15"/>
      <c r="M26" s="15"/>
      <c r="N26" s="16"/>
      <c r="O26" s="16"/>
    </row>
    <row r="27" spans="2:15" x14ac:dyDescent="0.25">
      <c r="B27" s="7">
        <v>2</v>
      </c>
      <c r="C27" s="22"/>
      <c r="D27" s="9"/>
      <c r="E27" s="23"/>
      <c r="F27" s="24"/>
      <c r="G27" s="25"/>
      <c r="H27" s="96"/>
      <c r="I27" s="97"/>
      <c r="J27" s="98"/>
      <c r="K27" s="14"/>
      <c r="L27" s="15"/>
      <c r="M27" s="15"/>
      <c r="N27" s="16"/>
      <c r="O27" s="16"/>
    </row>
    <row r="28" spans="2:15" x14ac:dyDescent="0.25">
      <c r="B28" s="7">
        <v>3</v>
      </c>
      <c r="C28" s="22"/>
      <c r="D28" s="9"/>
      <c r="E28" s="23"/>
      <c r="F28" s="24"/>
      <c r="G28" s="25"/>
      <c r="H28" s="96"/>
      <c r="I28" s="97"/>
      <c r="J28" s="98"/>
      <c r="K28" s="14"/>
      <c r="L28" s="15"/>
      <c r="M28" s="15"/>
      <c r="N28" s="16"/>
      <c r="O28" s="16"/>
    </row>
    <row r="29" spans="2:15" x14ac:dyDescent="0.25">
      <c r="B29" s="7">
        <v>4</v>
      </c>
      <c r="C29" s="22"/>
      <c r="D29" s="9"/>
      <c r="E29" s="23"/>
      <c r="F29" s="24"/>
      <c r="G29" s="25"/>
      <c r="H29" s="96"/>
      <c r="I29" s="97"/>
      <c r="J29" s="98"/>
      <c r="K29" s="14"/>
      <c r="L29" s="15"/>
      <c r="M29" s="15"/>
      <c r="N29" s="16"/>
      <c r="O29" s="16"/>
    </row>
    <row r="30" spans="2:15" x14ac:dyDescent="0.25">
      <c r="B30" s="7">
        <v>5</v>
      </c>
      <c r="C30" s="22"/>
      <c r="D30" s="9"/>
      <c r="E30" s="23"/>
      <c r="F30" s="24"/>
      <c r="G30" s="25"/>
      <c r="H30" s="96"/>
      <c r="I30" s="97"/>
      <c r="J30" s="98"/>
      <c r="K30" s="14"/>
      <c r="L30" s="15"/>
      <c r="M30" s="15"/>
      <c r="N30" s="16"/>
      <c r="O30" s="16"/>
    </row>
    <row r="31" spans="2:15" x14ac:dyDescent="0.25">
      <c r="B31" s="7">
        <v>6</v>
      </c>
      <c r="C31" s="22"/>
      <c r="D31" s="9"/>
      <c r="E31" s="23"/>
      <c r="F31" s="24"/>
      <c r="G31" s="25"/>
      <c r="H31" s="96"/>
      <c r="I31" s="97"/>
      <c r="J31" s="98"/>
      <c r="K31" s="14"/>
      <c r="L31" s="15"/>
      <c r="M31" s="15"/>
      <c r="N31" s="16"/>
      <c r="O31" s="16"/>
    </row>
    <row r="32" spans="2:15" x14ac:dyDescent="0.25">
      <c r="B32" s="7">
        <v>7</v>
      </c>
      <c r="C32" s="22"/>
      <c r="D32" s="9"/>
      <c r="E32" s="23"/>
      <c r="F32" s="24"/>
      <c r="G32" s="25"/>
      <c r="H32" s="96"/>
      <c r="I32" s="97"/>
      <c r="J32" s="98"/>
      <c r="K32" s="14"/>
      <c r="L32" s="15"/>
      <c r="M32" s="15"/>
      <c r="N32" s="16"/>
      <c r="O32" s="16"/>
    </row>
    <row r="33" spans="2:15" x14ac:dyDescent="0.25">
      <c r="B33" s="7">
        <v>8</v>
      </c>
      <c r="C33" s="22"/>
      <c r="D33" s="9"/>
      <c r="E33" s="23"/>
      <c r="F33" s="24"/>
      <c r="G33" s="25"/>
      <c r="H33" s="96"/>
      <c r="I33" s="97"/>
      <c r="J33" s="98"/>
      <c r="K33" s="14"/>
      <c r="L33" s="15"/>
      <c r="M33" s="15"/>
      <c r="N33" s="16"/>
      <c r="O33" s="16"/>
    </row>
    <row r="34" spans="2:15" x14ac:dyDescent="0.25">
      <c r="B34" s="7">
        <v>9</v>
      </c>
      <c r="C34" s="22"/>
      <c r="D34" s="9"/>
      <c r="E34" s="23"/>
      <c r="F34" s="24"/>
      <c r="G34" s="25"/>
      <c r="H34" s="96"/>
      <c r="I34" s="97"/>
      <c r="J34" s="98"/>
      <c r="K34" s="14"/>
      <c r="L34" s="15"/>
      <c r="M34" s="15"/>
      <c r="N34" s="16"/>
      <c r="O34" s="16"/>
    </row>
    <row r="35" spans="2:15" x14ac:dyDescent="0.25">
      <c r="B35" s="7">
        <v>10</v>
      </c>
      <c r="C35" s="22"/>
      <c r="D35" s="9"/>
      <c r="E35" s="23"/>
      <c r="F35" s="24"/>
      <c r="G35" s="25"/>
      <c r="H35" s="96"/>
      <c r="I35" s="97"/>
      <c r="J35" s="98"/>
      <c r="K35" s="14"/>
      <c r="L35" s="15"/>
      <c r="M35" s="15"/>
      <c r="N35" s="16"/>
      <c r="O35" s="16"/>
    </row>
    <row r="36" spans="2:15" x14ac:dyDescent="0.25">
      <c r="B36" s="7">
        <v>11</v>
      </c>
      <c r="C36" s="22"/>
      <c r="D36" s="9"/>
      <c r="E36" s="23"/>
      <c r="F36" s="24"/>
      <c r="G36" s="25"/>
      <c r="H36" s="96"/>
      <c r="I36" s="97"/>
      <c r="J36" s="98"/>
      <c r="K36" s="14"/>
      <c r="L36" s="15"/>
      <c r="M36" s="15"/>
      <c r="N36" s="16"/>
      <c r="O36" s="16"/>
    </row>
    <row r="37" spans="2:15" x14ac:dyDescent="0.25">
      <c r="B37" s="7">
        <v>12</v>
      </c>
      <c r="C37" s="22"/>
      <c r="D37" s="9"/>
      <c r="E37" s="23"/>
      <c r="F37" s="24"/>
      <c r="G37" s="25"/>
      <c r="H37" s="96"/>
      <c r="I37" s="97"/>
      <c r="J37" s="98"/>
      <c r="K37" s="14"/>
      <c r="L37" s="15"/>
      <c r="M37" s="15"/>
      <c r="N37" s="16"/>
      <c r="O37" s="16"/>
    </row>
    <row r="38" spans="2:15" x14ac:dyDescent="0.25">
      <c r="B38" s="7">
        <v>13</v>
      </c>
      <c r="C38" s="22"/>
      <c r="D38" s="9"/>
      <c r="E38" s="23"/>
      <c r="F38" s="24"/>
      <c r="G38" s="25"/>
      <c r="H38" s="96"/>
      <c r="I38" s="97"/>
      <c r="J38" s="98"/>
      <c r="K38" s="14"/>
      <c r="L38" s="15"/>
      <c r="M38" s="15"/>
      <c r="N38" s="16"/>
      <c r="O38" s="16"/>
    </row>
    <row r="39" spans="2:15" x14ac:dyDescent="0.25">
      <c r="B39" s="7">
        <v>14</v>
      </c>
      <c r="C39" s="22"/>
      <c r="D39" s="9"/>
      <c r="E39" s="23"/>
      <c r="F39" s="24"/>
      <c r="G39" s="25"/>
      <c r="H39" s="96"/>
      <c r="I39" s="97"/>
      <c r="J39" s="98"/>
      <c r="K39" s="14"/>
      <c r="L39" s="15"/>
      <c r="M39" s="15"/>
      <c r="N39" s="16"/>
      <c r="O39" s="16"/>
    </row>
    <row r="40" spans="2:15" x14ac:dyDescent="0.25">
      <c r="B40" s="7">
        <v>15</v>
      </c>
      <c r="C40" s="22"/>
      <c r="D40" s="9"/>
      <c r="E40" s="23"/>
      <c r="F40" s="24"/>
      <c r="G40" s="25"/>
      <c r="H40" s="96"/>
      <c r="I40" s="97"/>
      <c r="J40" s="98"/>
      <c r="K40" s="14"/>
      <c r="L40" s="15"/>
      <c r="M40" s="15"/>
      <c r="N40" s="16"/>
      <c r="O40" s="16"/>
    </row>
    <row r="41" spans="2:15" ht="15.75" x14ac:dyDescent="0.25">
      <c r="B41" s="143" t="s">
        <v>12</v>
      </c>
      <c r="C41" s="144"/>
      <c r="D41" s="144"/>
      <c r="E41" s="144"/>
      <c r="F41" s="144"/>
      <c r="G41" s="144"/>
      <c r="H41" s="144"/>
      <c r="I41" s="170"/>
      <c r="J41" s="110">
        <f>SUM(J26:J40)</f>
        <v>0</v>
      </c>
      <c r="K41" s="18">
        <f>SUM(K26:K40)</f>
        <v>0</v>
      </c>
      <c r="L41" s="19">
        <f>SUM(L26:L40)</f>
        <v>0</v>
      </c>
      <c r="M41" s="19">
        <f>SUM(M26:M40)</f>
        <v>0</v>
      </c>
      <c r="N41" s="28"/>
      <c r="O41" s="29">
        <f>SUM(J41+K41+L41+M41)</f>
        <v>0</v>
      </c>
    </row>
    <row r="42" spans="2:15" ht="15.75" x14ac:dyDescent="0.25">
      <c r="B42" s="147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</row>
    <row r="43" spans="2:15" ht="15.75" x14ac:dyDescent="0.25">
      <c r="B43" s="67">
        <v>1</v>
      </c>
      <c r="C43" s="31" t="s">
        <v>22</v>
      </c>
      <c r="D43" s="55"/>
      <c r="E43" s="71"/>
      <c r="F43" s="71"/>
      <c r="G43" s="68"/>
      <c r="H43" s="68"/>
      <c r="I43" s="69"/>
      <c r="J43" s="81"/>
      <c r="K43" s="82"/>
      <c r="L43" s="79"/>
      <c r="M43" s="79"/>
      <c r="N43" s="16"/>
      <c r="O43" s="67"/>
    </row>
    <row r="44" spans="2:15" ht="15.75" x14ac:dyDescent="0.25">
      <c r="B44" s="67">
        <v>2</v>
      </c>
      <c r="C44" s="31"/>
      <c r="D44" s="55"/>
      <c r="E44" s="71"/>
      <c r="F44" s="71"/>
      <c r="G44" s="68"/>
      <c r="H44" s="68"/>
      <c r="I44" s="69"/>
      <c r="J44" s="81"/>
      <c r="K44" s="82"/>
      <c r="L44" s="79"/>
      <c r="M44" s="79"/>
      <c r="N44" s="16"/>
      <c r="O44" s="67"/>
    </row>
    <row r="45" spans="2:15" ht="15.75" x14ac:dyDescent="0.25">
      <c r="B45" s="67">
        <v>3</v>
      </c>
      <c r="C45" s="31"/>
      <c r="D45" s="55"/>
      <c r="E45" s="71"/>
      <c r="F45" s="71"/>
      <c r="G45" s="68"/>
      <c r="H45" s="68"/>
      <c r="I45" s="69"/>
      <c r="J45" s="81"/>
      <c r="K45" s="82"/>
      <c r="L45" s="79"/>
      <c r="M45" s="79"/>
      <c r="N45" s="16"/>
      <c r="O45" s="67"/>
    </row>
    <row r="46" spans="2:15" ht="15.75" x14ac:dyDescent="0.25">
      <c r="B46" s="67">
        <v>4</v>
      </c>
      <c r="C46" s="31"/>
      <c r="D46" s="55"/>
      <c r="E46" s="71"/>
      <c r="F46" s="71"/>
      <c r="G46" s="68"/>
      <c r="H46" s="68"/>
      <c r="I46" s="69"/>
      <c r="J46" s="81"/>
      <c r="K46" s="82"/>
      <c r="L46" s="79"/>
      <c r="M46" s="79"/>
      <c r="N46" s="16"/>
      <c r="O46" s="67"/>
    </row>
    <row r="47" spans="2:15" ht="15.75" x14ac:dyDescent="0.25">
      <c r="B47" s="67">
        <v>5</v>
      </c>
      <c r="C47" s="31"/>
      <c r="D47" s="55"/>
      <c r="E47" s="71"/>
      <c r="F47" s="71"/>
      <c r="G47" s="68"/>
      <c r="H47" s="68"/>
      <c r="I47" s="69"/>
      <c r="J47" s="81"/>
      <c r="K47" s="82"/>
      <c r="L47" s="79"/>
      <c r="M47" s="79"/>
      <c r="N47" s="16"/>
      <c r="O47" s="67"/>
    </row>
    <row r="48" spans="2:15" ht="15.75" x14ac:dyDescent="0.25">
      <c r="B48" s="67">
        <v>6</v>
      </c>
      <c r="C48" s="31"/>
      <c r="D48" s="55"/>
      <c r="E48" s="71"/>
      <c r="F48" s="71"/>
      <c r="G48" s="68"/>
      <c r="H48" s="68"/>
      <c r="I48" s="69"/>
      <c r="J48" s="81"/>
      <c r="K48" s="82"/>
      <c r="L48" s="79"/>
      <c r="M48" s="79"/>
      <c r="N48" s="16"/>
      <c r="O48" s="67"/>
    </row>
    <row r="49" spans="2:15" ht="15.75" x14ac:dyDescent="0.25">
      <c r="B49" s="67">
        <v>7</v>
      </c>
      <c r="C49" s="31"/>
      <c r="D49" s="55"/>
      <c r="E49" s="71"/>
      <c r="F49" s="71"/>
      <c r="G49" s="68"/>
      <c r="H49" s="68"/>
      <c r="I49" s="69"/>
      <c r="J49" s="81"/>
      <c r="K49" s="82"/>
      <c r="L49" s="79"/>
      <c r="M49" s="79"/>
      <c r="N49" s="16"/>
      <c r="O49" s="67"/>
    </row>
    <row r="50" spans="2:15" ht="15.75" x14ac:dyDescent="0.25">
      <c r="B50" s="67">
        <v>8</v>
      </c>
      <c r="C50" s="31"/>
      <c r="D50" s="55"/>
      <c r="E50" s="71"/>
      <c r="F50" s="71"/>
      <c r="G50" s="68"/>
      <c r="H50" s="68"/>
      <c r="I50" s="69"/>
      <c r="J50" s="81"/>
      <c r="K50" s="82"/>
      <c r="L50" s="70"/>
      <c r="M50" s="70"/>
      <c r="N50" s="16"/>
      <c r="O50" s="67"/>
    </row>
    <row r="51" spans="2:15" ht="15.75" x14ac:dyDescent="0.25">
      <c r="B51" s="67">
        <v>9</v>
      </c>
      <c r="C51" s="31"/>
      <c r="D51" s="55"/>
      <c r="E51" s="71"/>
      <c r="F51" s="71"/>
      <c r="G51" s="68"/>
      <c r="H51" s="68"/>
      <c r="I51" s="69"/>
      <c r="J51" s="81"/>
      <c r="K51" s="82"/>
      <c r="L51" s="70"/>
      <c r="M51" s="70"/>
      <c r="N51" s="16"/>
      <c r="O51" s="67"/>
    </row>
    <row r="52" spans="2:15" ht="15.75" x14ac:dyDescent="0.25">
      <c r="B52" s="67">
        <v>10</v>
      </c>
      <c r="C52" s="67"/>
      <c r="D52" s="55"/>
      <c r="E52" s="71"/>
      <c r="F52" s="71"/>
      <c r="G52" s="68"/>
      <c r="H52" s="68"/>
      <c r="I52" s="69"/>
      <c r="J52" s="81"/>
      <c r="K52" s="82"/>
      <c r="L52" s="70"/>
      <c r="M52" s="70"/>
      <c r="N52" s="16"/>
      <c r="O52" s="67"/>
    </row>
    <row r="53" spans="2:15" ht="15.75" x14ac:dyDescent="0.25">
      <c r="B53" s="67">
        <v>11</v>
      </c>
      <c r="C53" s="67"/>
      <c r="D53" s="55"/>
      <c r="E53" s="71"/>
      <c r="F53" s="71"/>
      <c r="G53" s="68"/>
      <c r="H53" s="68"/>
      <c r="I53" s="69"/>
      <c r="J53" s="81"/>
      <c r="K53" s="82"/>
      <c r="L53" s="70"/>
      <c r="M53" s="70"/>
      <c r="N53" s="67"/>
      <c r="O53" s="67"/>
    </row>
    <row r="54" spans="2:15" ht="15.75" x14ac:dyDescent="0.25">
      <c r="B54" s="67">
        <v>12</v>
      </c>
      <c r="C54" s="67"/>
      <c r="D54" s="55"/>
      <c r="E54" s="71"/>
      <c r="F54" s="71"/>
      <c r="G54" s="68"/>
      <c r="H54" s="68"/>
      <c r="I54" s="69"/>
      <c r="J54" s="81"/>
      <c r="K54" s="82"/>
      <c r="L54" s="70"/>
      <c r="M54" s="70"/>
      <c r="N54" s="16"/>
      <c r="O54" s="67"/>
    </row>
    <row r="55" spans="2:15" ht="15.75" x14ac:dyDescent="0.25">
      <c r="B55" s="67">
        <v>13</v>
      </c>
      <c r="C55" s="67"/>
      <c r="D55" s="55"/>
      <c r="E55" s="71"/>
      <c r="F55" s="71"/>
      <c r="G55" s="68"/>
      <c r="H55" s="68"/>
      <c r="I55" s="69"/>
      <c r="J55" s="81"/>
      <c r="K55" s="82"/>
      <c r="L55" s="70"/>
      <c r="M55" s="70"/>
      <c r="N55" s="16"/>
      <c r="O55" s="67"/>
    </row>
    <row r="56" spans="2:15" ht="15.75" x14ac:dyDescent="0.25">
      <c r="B56" s="67">
        <v>14</v>
      </c>
      <c r="C56" s="67"/>
      <c r="D56" s="86"/>
      <c r="E56" s="71"/>
      <c r="F56" s="71"/>
      <c r="G56" s="68"/>
      <c r="H56" s="68"/>
      <c r="I56" s="69"/>
      <c r="J56" s="81"/>
      <c r="K56" s="78"/>
      <c r="L56" s="70"/>
      <c r="M56" s="70"/>
      <c r="N56" s="16"/>
      <c r="O56" s="67"/>
    </row>
    <row r="57" spans="2:15" ht="15.75" x14ac:dyDescent="0.25">
      <c r="B57" s="157" t="s">
        <v>12</v>
      </c>
      <c r="C57" s="158"/>
      <c r="D57" s="158"/>
      <c r="E57" s="158"/>
      <c r="F57" s="158"/>
      <c r="G57" s="158"/>
      <c r="H57" s="158"/>
      <c r="I57" s="159"/>
      <c r="J57" s="107">
        <f>SUM(J43:J56)</f>
        <v>0</v>
      </c>
      <c r="K57" s="60">
        <f>SUM(K43:K56)</f>
        <v>0</v>
      </c>
      <c r="L57" s="61">
        <f>SUM(L43:L56)</f>
        <v>0</v>
      </c>
      <c r="M57" s="61">
        <f>SUM(M43:M56)</f>
        <v>0</v>
      </c>
      <c r="N57" s="62"/>
      <c r="O57" s="63">
        <f>SUM(J57+K57+L57+M57)</f>
        <v>0</v>
      </c>
    </row>
    <row r="58" spans="2:15" x14ac:dyDescent="0.25">
      <c r="D58" s="42"/>
      <c r="I58" s="43"/>
      <c r="J58" s="43"/>
    </row>
    <row r="59" spans="2:15" x14ac:dyDescent="0.25">
      <c r="D59" s="42"/>
      <c r="I59" s="43"/>
      <c r="J59" s="43"/>
    </row>
    <row r="60" spans="2:15" ht="15.75" x14ac:dyDescent="0.25">
      <c r="D60" s="42"/>
      <c r="G60" s="150" t="s">
        <v>23</v>
      </c>
      <c r="H60" s="150"/>
      <c r="I60" s="150"/>
      <c r="J60" s="108">
        <f>SUM(J57+J41+J24)</f>
        <v>0</v>
      </c>
      <c r="K60" s="18">
        <f>SUM(K57+K41+K24)</f>
        <v>0</v>
      </c>
      <c r="L60" s="40">
        <f>SUM(L57+L41+L24)</f>
        <v>0</v>
      </c>
      <c r="M60" s="40"/>
      <c r="N60" s="28"/>
      <c r="O60" s="21">
        <f>SUM(J60+K60+L60+M60)</f>
        <v>0</v>
      </c>
    </row>
    <row r="61" spans="2:15" x14ac:dyDescent="0.25">
      <c r="D61" s="42"/>
      <c r="I61" s="43"/>
      <c r="J61" s="43"/>
    </row>
    <row r="62" spans="2:15" x14ac:dyDescent="0.25">
      <c r="B62" s="160" t="s">
        <v>24</v>
      </c>
      <c r="C62" s="160"/>
      <c r="D62" s="160"/>
      <c r="I62" s="43"/>
      <c r="J62" s="43"/>
    </row>
    <row r="63" spans="2:15" ht="15.75" x14ac:dyDescent="0.25">
      <c r="B63" s="154" t="s">
        <v>3</v>
      </c>
      <c r="C63" s="161" t="s">
        <v>25</v>
      </c>
      <c r="D63" s="154" t="s">
        <v>5</v>
      </c>
      <c r="E63" s="154" t="s">
        <v>6</v>
      </c>
      <c r="F63" s="154" t="s">
        <v>7</v>
      </c>
      <c r="G63" s="154" t="s">
        <v>8</v>
      </c>
      <c r="H63" s="154" t="s">
        <v>9</v>
      </c>
      <c r="I63" s="161" t="s">
        <v>26</v>
      </c>
      <c r="J63" s="122" t="s">
        <v>11</v>
      </c>
      <c r="K63" s="123"/>
      <c r="L63" s="123"/>
      <c r="M63" s="123"/>
      <c r="N63" s="124"/>
      <c r="O63" s="133" t="s">
        <v>12</v>
      </c>
    </row>
    <row r="64" spans="2:15" ht="15.75" x14ac:dyDescent="0.25">
      <c r="B64" s="155"/>
      <c r="C64" s="162"/>
      <c r="D64" s="155"/>
      <c r="E64" s="155"/>
      <c r="F64" s="155"/>
      <c r="G64" s="155"/>
      <c r="H64" s="155"/>
      <c r="I64" s="162"/>
      <c r="J64" s="135" t="s">
        <v>14</v>
      </c>
      <c r="K64" s="136"/>
      <c r="L64" s="137" t="s">
        <v>15</v>
      </c>
      <c r="M64" s="138"/>
      <c r="N64" s="6" t="s">
        <v>16</v>
      </c>
      <c r="O64" s="134"/>
    </row>
    <row r="65" spans="2:15" ht="15.75" x14ac:dyDescent="0.25">
      <c r="B65" s="83"/>
      <c r="C65" s="84"/>
      <c r="D65" s="83"/>
      <c r="E65" s="83"/>
      <c r="F65" s="83"/>
      <c r="G65" s="83"/>
      <c r="H65" s="83"/>
      <c r="I65" s="84"/>
      <c r="J65" s="101" t="s">
        <v>24</v>
      </c>
      <c r="K65" s="4" t="s">
        <v>1139</v>
      </c>
      <c r="L65" s="5" t="s">
        <v>24</v>
      </c>
      <c r="M65" s="5" t="s">
        <v>1139</v>
      </c>
      <c r="N65" s="6"/>
      <c r="O65" s="85"/>
    </row>
    <row r="66" spans="2:15" ht="15" customHeight="1" x14ac:dyDescent="0.25">
      <c r="B66" s="27">
        <v>1</v>
      </c>
      <c r="C66" s="31"/>
      <c r="D66" s="45"/>
      <c r="E66" s="46"/>
      <c r="F66" s="46"/>
      <c r="G66" s="47"/>
      <c r="H66" s="47"/>
      <c r="I66" s="48"/>
      <c r="J66" s="98"/>
      <c r="K66" s="49"/>
      <c r="L66" s="50"/>
      <c r="M66" s="50"/>
      <c r="N66" s="16"/>
      <c r="O66" s="17"/>
    </row>
    <row r="67" spans="2:15" ht="15" customHeight="1" x14ac:dyDescent="0.25">
      <c r="B67" s="27">
        <v>2</v>
      </c>
      <c r="C67" s="31"/>
      <c r="D67" s="51"/>
      <c r="E67" s="51"/>
      <c r="F67" s="17"/>
      <c r="G67" s="47"/>
      <c r="H67" s="52"/>
      <c r="I67" s="16"/>
      <c r="J67" s="98"/>
      <c r="K67" s="49"/>
      <c r="L67" s="50"/>
      <c r="M67" s="50"/>
      <c r="N67" s="16"/>
      <c r="O67" s="17"/>
    </row>
    <row r="68" spans="2:15" ht="15" customHeight="1" x14ac:dyDescent="0.25">
      <c r="B68" s="27">
        <v>3</v>
      </c>
      <c r="C68" s="31"/>
      <c r="D68" s="51"/>
      <c r="E68" s="51"/>
      <c r="F68" s="17"/>
      <c r="G68" s="47"/>
      <c r="H68" s="52"/>
      <c r="I68" s="16"/>
      <c r="J68" s="98"/>
      <c r="K68" s="49"/>
      <c r="L68" s="50"/>
      <c r="M68" s="50"/>
      <c r="N68" s="16"/>
      <c r="O68" s="17"/>
    </row>
    <row r="69" spans="2:15" ht="15" customHeight="1" x14ac:dyDescent="0.25">
      <c r="B69" s="27">
        <v>4</v>
      </c>
      <c r="C69" s="31"/>
      <c r="D69" s="51"/>
      <c r="E69" s="51"/>
      <c r="F69" s="17"/>
      <c r="G69" s="47"/>
      <c r="H69" s="52"/>
      <c r="I69" s="16"/>
      <c r="J69" s="98"/>
      <c r="K69" s="49"/>
      <c r="L69" s="50"/>
      <c r="M69" s="50"/>
      <c r="N69" s="16"/>
      <c r="O69" s="17"/>
    </row>
    <row r="70" spans="2:15" ht="15" customHeight="1" x14ac:dyDescent="0.25">
      <c r="B70" s="27">
        <v>5</v>
      </c>
      <c r="C70" s="31"/>
      <c r="D70" s="51"/>
      <c r="E70" s="51"/>
      <c r="F70" s="17"/>
      <c r="G70" s="47"/>
      <c r="H70" s="52"/>
      <c r="I70" s="16"/>
      <c r="J70" s="98"/>
      <c r="K70" s="49"/>
      <c r="L70" s="50"/>
      <c r="M70" s="50"/>
      <c r="N70" s="16"/>
      <c r="O70" s="17"/>
    </row>
    <row r="71" spans="2:15" ht="15" customHeight="1" x14ac:dyDescent="0.25">
      <c r="B71" s="27">
        <v>6</v>
      </c>
      <c r="C71" s="31"/>
      <c r="D71" s="51"/>
      <c r="E71" s="51"/>
      <c r="F71" s="17"/>
      <c r="G71" s="47"/>
      <c r="H71" s="52"/>
      <c r="I71" s="16"/>
      <c r="J71" s="98"/>
      <c r="K71" s="49"/>
      <c r="L71" s="50"/>
      <c r="M71" s="50"/>
      <c r="N71" s="16"/>
      <c r="O71" s="17"/>
    </row>
    <row r="72" spans="2:15" ht="15" customHeight="1" x14ac:dyDescent="0.25">
      <c r="B72" s="27">
        <v>7</v>
      </c>
      <c r="C72" s="31"/>
      <c r="D72" s="51"/>
      <c r="E72" s="51"/>
      <c r="F72" s="17"/>
      <c r="G72" s="47"/>
      <c r="H72" s="52"/>
      <c r="I72" s="16"/>
      <c r="J72" s="98"/>
      <c r="K72" s="49"/>
      <c r="L72" s="50"/>
      <c r="M72" s="50"/>
      <c r="N72" s="16"/>
      <c r="O72" s="17"/>
    </row>
    <row r="73" spans="2:15" ht="15" customHeight="1" x14ac:dyDescent="0.25">
      <c r="B73" s="27">
        <v>8</v>
      </c>
      <c r="C73" s="31"/>
      <c r="D73" s="51"/>
      <c r="E73" s="51"/>
      <c r="F73" s="17"/>
      <c r="G73" s="47"/>
      <c r="H73" s="52"/>
      <c r="I73" s="16"/>
      <c r="J73" s="100"/>
      <c r="K73" s="49"/>
      <c r="L73" s="15"/>
      <c r="M73" s="15"/>
      <c r="N73" s="16"/>
      <c r="O73" s="17"/>
    </row>
    <row r="74" spans="2:15" ht="15.75" x14ac:dyDescent="0.25">
      <c r="B74" s="122" t="s">
        <v>27</v>
      </c>
      <c r="C74" s="123"/>
      <c r="D74" s="123"/>
      <c r="E74" s="123"/>
      <c r="F74" s="123"/>
      <c r="G74" s="123"/>
      <c r="H74" s="123"/>
      <c r="I74" s="124"/>
      <c r="J74" s="106">
        <f>SUM(J66:J73)</f>
        <v>0</v>
      </c>
      <c r="K74" s="39">
        <f>SUM(K66:K73)</f>
        <v>0</v>
      </c>
      <c r="L74" s="40">
        <f>SUM(L66:L73)</f>
        <v>0</v>
      </c>
      <c r="M74" s="40"/>
      <c r="N74" s="28"/>
      <c r="O74" s="41">
        <f>SUM(J74+K74+L74+M74)</f>
        <v>0</v>
      </c>
    </row>
    <row r="75" spans="2:15" ht="15.75" x14ac:dyDescent="0.25">
      <c r="B75" s="139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</row>
    <row r="76" spans="2:15" x14ac:dyDescent="0.25">
      <c r="B76" s="55">
        <v>1</v>
      </c>
      <c r="C76" s="8"/>
      <c r="D76" s="51"/>
      <c r="E76" s="51"/>
      <c r="F76" s="17"/>
      <c r="G76" s="47"/>
      <c r="H76" s="52"/>
      <c r="I76" s="16"/>
      <c r="J76" s="100"/>
      <c r="K76" s="49"/>
      <c r="L76" s="50"/>
      <c r="M76" s="50"/>
      <c r="N76" s="16"/>
      <c r="O76" s="17"/>
    </row>
    <row r="77" spans="2:15" x14ac:dyDescent="0.25">
      <c r="B77" s="55">
        <v>2</v>
      </c>
      <c r="C77" s="8"/>
      <c r="D77" s="51"/>
      <c r="E77" s="51"/>
      <c r="F77" s="17"/>
      <c r="G77" s="47"/>
      <c r="H77" s="52"/>
      <c r="I77" s="16"/>
      <c r="J77" s="100"/>
      <c r="K77" s="49"/>
      <c r="L77" s="15"/>
      <c r="M77" s="15"/>
      <c r="N77" s="16"/>
      <c r="O77" s="17"/>
    </row>
    <row r="78" spans="2:15" x14ac:dyDescent="0.25">
      <c r="B78" s="55">
        <v>3</v>
      </c>
      <c r="C78" s="8"/>
      <c r="D78" s="51"/>
      <c r="E78" s="51"/>
      <c r="F78" s="17"/>
      <c r="G78" s="47"/>
      <c r="H78" s="52"/>
      <c r="I78" s="16"/>
      <c r="J78" s="100"/>
      <c r="K78" s="49"/>
      <c r="L78" s="50"/>
      <c r="M78" s="50"/>
      <c r="N78" s="16"/>
      <c r="O78" s="17"/>
    </row>
    <row r="79" spans="2:15" x14ac:dyDescent="0.25">
      <c r="B79" s="55">
        <v>4</v>
      </c>
      <c r="C79" s="8"/>
      <c r="D79" s="51"/>
      <c r="E79" s="51"/>
      <c r="F79" s="17"/>
      <c r="G79" s="47"/>
      <c r="H79" s="52"/>
      <c r="I79" s="16"/>
      <c r="J79" s="100"/>
      <c r="K79" s="49"/>
      <c r="L79" s="50"/>
      <c r="M79" s="50"/>
      <c r="N79" s="16"/>
      <c r="O79" s="17"/>
    </row>
    <row r="80" spans="2:15" x14ac:dyDescent="0.25">
      <c r="B80" s="55">
        <v>5</v>
      </c>
      <c r="C80" s="8"/>
      <c r="D80" s="51"/>
      <c r="E80" s="51"/>
      <c r="F80" s="17"/>
      <c r="G80" s="47"/>
      <c r="H80" s="52"/>
      <c r="I80" s="16"/>
      <c r="J80" s="100"/>
      <c r="K80" s="49"/>
      <c r="L80" s="50"/>
      <c r="M80" s="50"/>
      <c r="N80" s="16"/>
      <c r="O80" s="17"/>
    </row>
    <row r="81" spans="1:15" x14ac:dyDescent="0.25">
      <c r="B81" s="55">
        <v>6</v>
      </c>
      <c r="C81" s="8"/>
      <c r="D81" s="51"/>
      <c r="E81" s="51"/>
      <c r="F81" s="17"/>
      <c r="G81" s="47"/>
      <c r="H81" s="52"/>
      <c r="I81" s="16"/>
      <c r="J81" s="100"/>
      <c r="K81" s="49"/>
      <c r="L81" s="15"/>
      <c r="M81" s="15"/>
      <c r="N81" s="16"/>
      <c r="O81" s="17"/>
    </row>
    <row r="82" spans="1:15" x14ac:dyDescent="0.25">
      <c r="B82" s="55">
        <v>7</v>
      </c>
      <c r="C82" s="8"/>
      <c r="D82" s="51"/>
      <c r="E82" s="51"/>
      <c r="F82" s="17"/>
      <c r="G82" s="47"/>
      <c r="H82" s="52"/>
      <c r="I82" s="16"/>
      <c r="J82" s="100"/>
      <c r="K82" s="49"/>
      <c r="L82" s="15"/>
      <c r="M82" s="15"/>
      <c r="N82" s="16"/>
      <c r="O82" s="17"/>
    </row>
    <row r="83" spans="1:15" x14ac:dyDescent="0.25">
      <c r="B83" s="55">
        <v>8</v>
      </c>
      <c r="C83" s="8"/>
      <c r="D83" s="51"/>
      <c r="E83" s="51"/>
      <c r="F83" s="17"/>
      <c r="G83" s="47"/>
      <c r="H83" s="52"/>
      <c r="I83" s="16"/>
      <c r="J83" s="100"/>
      <c r="K83" s="49"/>
      <c r="L83" s="15"/>
      <c r="M83" s="15"/>
      <c r="N83" s="16"/>
      <c r="O83" s="17"/>
    </row>
    <row r="84" spans="1:15" x14ac:dyDescent="0.25">
      <c r="B84" s="55">
        <v>9</v>
      </c>
      <c r="C84" s="8"/>
      <c r="D84" s="51"/>
      <c r="E84" s="51"/>
      <c r="F84" s="17"/>
      <c r="G84" s="47"/>
      <c r="H84" s="52"/>
      <c r="I84" s="16"/>
      <c r="J84" s="100"/>
      <c r="K84" s="49"/>
      <c r="L84" s="15"/>
      <c r="M84" s="15"/>
      <c r="N84" s="16"/>
      <c r="O84" s="17"/>
    </row>
    <row r="85" spans="1:15" x14ac:dyDescent="0.25">
      <c r="B85" s="55">
        <v>10</v>
      </c>
      <c r="C85" s="8"/>
      <c r="D85" s="51"/>
      <c r="E85" s="51"/>
      <c r="F85" s="17"/>
      <c r="G85" s="47"/>
      <c r="H85" s="52"/>
      <c r="I85" s="16"/>
      <c r="J85" s="100"/>
      <c r="K85" s="49"/>
      <c r="L85" s="15"/>
      <c r="M85" s="15"/>
      <c r="N85" s="16"/>
      <c r="O85" s="17"/>
    </row>
    <row r="86" spans="1:15" ht="15.75" x14ac:dyDescent="0.25">
      <c r="A86" t="s">
        <v>90</v>
      </c>
      <c r="B86" s="122" t="s">
        <v>27</v>
      </c>
      <c r="C86" s="123"/>
      <c r="D86" s="123"/>
      <c r="E86" s="123"/>
      <c r="F86" s="123"/>
      <c r="G86" s="123"/>
      <c r="H86" s="123"/>
      <c r="I86" s="124"/>
      <c r="J86" s="109">
        <f>SUM(J76:J85)</f>
        <v>0</v>
      </c>
      <c r="K86" s="39">
        <f>SUM(K76:K85)</f>
        <v>0</v>
      </c>
      <c r="L86" s="40">
        <f>SUM(L76:L85)</f>
        <v>0</v>
      </c>
      <c r="M86" s="40"/>
      <c r="N86" s="28"/>
      <c r="O86" s="41">
        <f>SUM(J86+K86+L86+M86)</f>
        <v>0</v>
      </c>
    </row>
    <row r="87" spans="1:15" x14ac:dyDescent="0.25">
      <c r="D87" s="42"/>
      <c r="I87" s="43"/>
      <c r="J87" s="43"/>
    </row>
    <row r="88" spans="1:15" ht="15.75" x14ac:dyDescent="0.25">
      <c r="D88" s="42"/>
      <c r="H88" s="122" t="s">
        <v>28</v>
      </c>
      <c r="I88" s="124"/>
      <c r="J88" s="106">
        <f>SUM(J86+J74)</f>
        <v>0</v>
      </c>
      <c r="K88" s="39">
        <f>SUM(K86+K74)</f>
        <v>0</v>
      </c>
      <c r="L88" s="40">
        <f>SUM(L86+L74)</f>
        <v>0</v>
      </c>
      <c r="M88" s="40">
        <v>0</v>
      </c>
      <c r="N88" s="28"/>
      <c r="O88" s="99">
        <f>SUM(J88+K88+L88+M88)</f>
        <v>0</v>
      </c>
    </row>
    <row r="89" spans="1:15" ht="15.75" x14ac:dyDescent="0.25">
      <c r="D89" s="42"/>
      <c r="H89" s="87"/>
      <c r="I89" s="87"/>
      <c r="J89" s="87"/>
      <c r="K89" s="102"/>
      <c r="L89" s="102"/>
      <c r="M89" s="102"/>
      <c r="N89" s="103"/>
      <c r="O89" s="104"/>
    </row>
    <row r="90" spans="1:15" ht="15.75" x14ac:dyDescent="0.25">
      <c r="D90" s="42"/>
      <c r="H90" s="125" t="s">
        <v>29</v>
      </c>
      <c r="I90" s="126"/>
      <c r="J90" s="131" t="s">
        <v>14</v>
      </c>
      <c r="K90" s="131"/>
      <c r="L90" s="132" t="s">
        <v>15</v>
      </c>
      <c r="M90" s="132"/>
      <c r="N90" s="17"/>
      <c r="O90" s="116"/>
    </row>
    <row r="91" spans="1:15" ht="15.75" x14ac:dyDescent="0.25">
      <c r="D91" s="42"/>
      <c r="H91" s="127"/>
      <c r="I91" s="128"/>
      <c r="J91" s="4" t="s">
        <v>24</v>
      </c>
      <c r="K91" s="66" t="s">
        <v>1139</v>
      </c>
      <c r="L91" s="105" t="s">
        <v>24</v>
      </c>
      <c r="M91" s="105" t="s">
        <v>1139</v>
      </c>
      <c r="N91" s="17"/>
      <c r="O91" s="116"/>
    </row>
    <row r="92" spans="1:15" ht="15.75" x14ac:dyDescent="0.25">
      <c r="D92" s="42"/>
      <c r="H92" s="129"/>
      <c r="I92" s="130"/>
      <c r="J92" s="39">
        <f>SUM(J60,J88)</f>
        <v>0</v>
      </c>
      <c r="K92" s="39">
        <f>SUM(K88+K60)</f>
        <v>0</v>
      </c>
      <c r="L92" s="40">
        <f>SUM(L88+L60)</f>
        <v>0</v>
      </c>
      <c r="M92" s="40">
        <v>0</v>
      </c>
      <c r="N92" s="28"/>
      <c r="O92" s="116"/>
    </row>
    <row r="93" spans="1:15" x14ac:dyDescent="0.25">
      <c r="D93" s="42"/>
      <c r="I93" s="43"/>
      <c r="J93" s="43"/>
    </row>
    <row r="94" spans="1:15" ht="18.75" x14ac:dyDescent="0.3">
      <c r="D94" s="42"/>
      <c r="H94" s="117"/>
      <c r="I94" s="117"/>
      <c r="J94" s="111"/>
      <c r="L94" s="118" t="s">
        <v>1141</v>
      </c>
      <c r="M94" s="119"/>
      <c r="N94" s="112">
        <f>SUM(I92+K92)</f>
        <v>0</v>
      </c>
      <c r="O94" s="120">
        <f>SUM(N94+N95)</f>
        <v>0</v>
      </c>
    </row>
    <row r="95" spans="1:15" ht="18.75" x14ac:dyDescent="0.3">
      <c r="D95" s="42"/>
      <c r="H95" s="117"/>
      <c r="I95" s="117"/>
      <c r="J95" s="111"/>
      <c r="L95" s="118" t="s">
        <v>1142</v>
      </c>
      <c r="M95" s="119"/>
      <c r="N95" s="112">
        <f>SUM(J92+L92)</f>
        <v>0</v>
      </c>
      <c r="O95" s="121"/>
    </row>
    <row r="96" spans="1:15" ht="18.75" x14ac:dyDescent="0.3">
      <c r="D96" s="42"/>
      <c r="H96" s="115"/>
      <c r="I96" s="115"/>
      <c r="J96" s="113"/>
      <c r="K96" s="114"/>
    </row>
    <row r="97" spans="4:11" x14ac:dyDescent="0.25">
      <c r="D97" s="2" t="s">
        <v>30</v>
      </c>
      <c r="E97" s="1"/>
      <c r="F97" s="1"/>
      <c r="G97" s="1"/>
      <c r="H97" s="1"/>
      <c r="I97" s="1"/>
      <c r="J97" s="1"/>
      <c r="K97" s="1"/>
    </row>
    <row r="98" spans="4:11" x14ac:dyDescent="0.25">
      <c r="D98" s="2"/>
      <c r="E98" s="1"/>
      <c r="F98" s="1"/>
      <c r="G98" s="1"/>
      <c r="H98" s="1"/>
      <c r="I98" s="1"/>
      <c r="J98" s="1"/>
      <c r="K98" s="1"/>
    </row>
    <row r="99" spans="4:11" x14ac:dyDescent="0.25">
      <c r="D99" s="3" t="s">
        <v>31</v>
      </c>
      <c r="E99" s="3"/>
      <c r="F99" s="3" t="s">
        <v>32</v>
      </c>
      <c r="G99" s="3"/>
      <c r="H99" s="3" t="s">
        <v>33</v>
      </c>
      <c r="I99" s="3"/>
      <c r="J99" s="3"/>
      <c r="K99" s="3" t="s">
        <v>34</v>
      </c>
    </row>
    <row r="100" spans="4:11" x14ac:dyDescent="0.25">
      <c r="D100" s="3"/>
      <c r="E100" s="3"/>
      <c r="F100" s="3"/>
      <c r="G100" s="3"/>
      <c r="H100" s="3"/>
      <c r="I100" s="3"/>
      <c r="J100" s="3"/>
      <c r="K100" s="3"/>
    </row>
    <row r="101" spans="4:11" x14ac:dyDescent="0.25">
      <c r="D101" s="3"/>
      <c r="E101" s="3"/>
      <c r="F101" s="3"/>
      <c r="G101" s="3"/>
      <c r="H101" s="3"/>
      <c r="I101" s="3"/>
      <c r="J101" s="3"/>
      <c r="K101" s="3"/>
    </row>
    <row r="102" spans="4:11" x14ac:dyDescent="0.25">
      <c r="D102" s="3"/>
      <c r="E102" s="3"/>
      <c r="F102" s="3"/>
      <c r="G102" s="3"/>
      <c r="H102" s="3"/>
      <c r="I102" s="3"/>
      <c r="J102" s="3"/>
      <c r="K102" s="3"/>
    </row>
    <row r="103" spans="4:11" x14ac:dyDescent="0.25">
      <c r="D103" s="3" t="s">
        <v>35</v>
      </c>
      <c r="E103" s="3"/>
      <c r="F103" s="3" t="s">
        <v>36</v>
      </c>
      <c r="G103" s="3"/>
      <c r="H103" s="3" t="s">
        <v>36</v>
      </c>
      <c r="I103" s="3"/>
      <c r="J103" s="3"/>
      <c r="K103" s="3" t="s">
        <v>37</v>
      </c>
    </row>
    <row r="104" spans="4:11" x14ac:dyDescent="0.25">
      <c r="D104" s="42"/>
    </row>
    <row r="105" spans="4:11" x14ac:dyDescent="0.25">
      <c r="D105" s="42"/>
    </row>
    <row r="106" spans="4:11" x14ac:dyDescent="0.25">
      <c r="D106" s="42"/>
    </row>
    <row r="107" spans="4:11" x14ac:dyDescent="0.25">
      <c r="D107" s="42"/>
    </row>
    <row r="108" spans="4:11" x14ac:dyDescent="0.25">
      <c r="D108" s="42"/>
    </row>
  </sheetData>
  <mergeCells count="48">
    <mergeCell ref="B24:I24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63:G64"/>
    <mergeCell ref="B25:O25"/>
    <mergeCell ref="B41:I41"/>
    <mergeCell ref="B42:O42"/>
    <mergeCell ref="B57:I57"/>
    <mergeCell ref="G60:I60"/>
    <mergeCell ref="B62:D62"/>
    <mergeCell ref="B63:B64"/>
    <mergeCell ref="C63:C64"/>
    <mergeCell ref="D63:D64"/>
    <mergeCell ref="E63:E64"/>
    <mergeCell ref="F63:F64"/>
    <mergeCell ref="H63:H64"/>
    <mergeCell ref="I63:I64"/>
    <mergeCell ref="J63:N63"/>
    <mergeCell ref="O63:O64"/>
    <mergeCell ref="J64:K64"/>
    <mergeCell ref="L64:M64"/>
    <mergeCell ref="H96:I96"/>
    <mergeCell ref="B74:I74"/>
    <mergeCell ref="B75:O75"/>
    <mergeCell ref="B86:I86"/>
    <mergeCell ref="H88:I88"/>
    <mergeCell ref="H90:I92"/>
    <mergeCell ref="J90:K90"/>
    <mergeCell ref="L90:M90"/>
    <mergeCell ref="O90:O92"/>
    <mergeCell ref="H94:I94"/>
    <mergeCell ref="L94:M94"/>
    <mergeCell ref="O94:O95"/>
    <mergeCell ref="H95:I95"/>
    <mergeCell ref="L95:M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</vt:i4>
      </vt:variant>
    </vt:vector>
  </HeadingPairs>
  <TitlesOfParts>
    <vt:vector size="22" baseType="lpstr">
      <vt:lpstr>01-05</vt:lpstr>
      <vt:lpstr>02-05</vt:lpstr>
      <vt:lpstr>04-05</vt:lpstr>
      <vt:lpstr>05-05</vt:lpstr>
      <vt:lpstr>06-05</vt:lpstr>
      <vt:lpstr>07-05</vt:lpstr>
      <vt:lpstr>08-05</vt:lpstr>
      <vt:lpstr>09-05</vt:lpstr>
      <vt:lpstr>11-05</vt:lpstr>
      <vt:lpstr>12-05</vt:lpstr>
      <vt:lpstr>13-05</vt:lpstr>
      <vt:lpstr>14-05</vt:lpstr>
      <vt:lpstr>15-05</vt:lpstr>
      <vt:lpstr>16-05</vt:lpstr>
      <vt:lpstr>18-05</vt:lpstr>
      <vt:lpstr>19-05</vt:lpstr>
      <vt:lpstr>20-05</vt:lpstr>
      <vt:lpstr>Sheet1</vt:lpstr>
      <vt:lpstr>'15-05'!Print_Area</vt:lpstr>
      <vt:lpstr>'16-05'!Print_Area</vt:lpstr>
      <vt:lpstr>'18-05'!Print_Area</vt:lpstr>
      <vt:lpstr>'19-05'!Print_Area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2026-05-19T09:02:33Z</cp:lastPrinted>
  <dcterms:created xsi:type="dcterms:W3CDTF">2026-05-01T01:57:13Z</dcterms:created>
  <dcterms:modified xsi:type="dcterms:W3CDTF">2026-05-20T07:30:09Z</dcterms:modified>
</cp:coreProperties>
</file>