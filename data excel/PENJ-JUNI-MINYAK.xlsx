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T470S\Desktop\PENJ-MINYAK-MEI-1\"/>
    </mc:Choice>
  </mc:AlternateContent>
  <xr:revisionPtr revIDLastSave="0" documentId="13_ncr:1_{F30A65C6-0DC8-4DA2-B73C-3175B29F8716}" xr6:coauthVersionLast="47" xr6:coauthVersionMax="47" xr10:uidLastSave="{00000000-0000-0000-0000-000000000000}"/>
  <bookViews>
    <workbookView xWindow="7545" yWindow="0" windowWidth="12765" windowHeight="10800" firstSheet="2" activeTab="4" xr2:uid="{8921143A-45ED-4450-9778-38A7245734F0}"/>
  </bookViews>
  <sheets>
    <sheet name="PENJ-ALL-SALES" sheetId="4" r:id="rId1"/>
    <sheet name="PROFIT ALL SALES" sheetId="5" r:id="rId2"/>
    <sheet name="JOSSY" sheetId="1" r:id="rId3"/>
    <sheet name="RAJU" sheetId="2" r:id="rId4"/>
    <sheet name="HAFID" sheetId="3" r:id="rId5"/>
  </sheets>
  <definedNames>
    <definedName name="_xlnm._FilterDatabase" localSheetId="4" hidden="1">HAFID!$B$3:$I$300</definedName>
    <definedName name="_xlnm._FilterDatabase" localSheetId="2" hidden="1">JOSSY!$B$3:$I$3</definedName>
    <definedName name="_xlnm._FilterDatabase" localSheetId="3" hidden="1">RAJU!$B$3:$I$167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2" i="2" l="1"/>
  <c r="F193" i="2"/>
  <c r="H168" i="2"/>
  <c r="F168" i="2"/>
  <c r="G320" i="3"/>
  <c r="H355" i="1"/>
  <c r="F355" i="1"/>
  <c r="K365" i="1"/>
  <c r="J365" i="1"/>
  <c r="J178" i="2"/>
  <c r="E380" i="1"/>
  <c r="E372" i="1"/>
  <c r="G326" i="3"/>
  <c r="E326" i="3"/>
  <c r="F326" i="3" s="1"/>
  <c r="G325" i="3"/>
  <c r="I325" i="3" s="1"/>
  <c r="E325" i="3"/>
  <c r="F325" i="3" s="1"/>
  <c r="G318" i="3"/>
  <c r="F318" i="3"/>
  <c r="I318" i="3" s="1"/>
  <c r="E318" i="3"/>
  <c r="G317" i="3"/>
  <c r="E317" i="3"/>
  <c r="F317" i="3" s="1"/>
  <c r="I317" i="3" s="1"/>
  <c r="I320" i="3" s="1"/>
  <c r="E316" i="3"/>
  <c r="F316" i="3" s="1"/>
  <c r="I193" i="2"/>
  <c r="F192" i="2"/>
  <c r="I184" i="2"/>
  <c r="I185" i="2"/>
  <c r="E185" i="2"/>
  <c r="E184" i="2"/>
  <c r="F184" i="2" s="1"/>
  <c r="E183" i="2"/>
  <c r="G193" i="2"/>
  <c r="G192" i="2"/>
  <c r="F185" i="2"/>
  <c r="G185" i="2"/>
  <c r="G184" i="2"/>
  <c r="F183" i="2"/>
  <c r="G379" i="1"/>
  <c r="F379" i="1"/>
  <c r="E379" i="1"/>
  <c r="G378" i="1"/>
  <c r="E378" i="1"/>
  <c r="F378" i="1" s="1"/>
  <c r="G377" i="1"/>
  <c r="E377" i="1"/>
  <c r="F377" i="1" s="1"/>
  <c r="G371" i="1"/>
  <c r="E371" i="1"/>
  <c r="F371" i="1" s="1"/>
  <c r="G370" i="1"/>
  <c r="E370" i="1"/>
  <c r="F370" i="1" s="1"/>
  <c r="G369" i="1"/>
  <c r="E369" i="1"/>
  <c r="F369" i="1" s="1"/>
  <c r="F7" i="5"/>
  <c r="F24" i="5" s="1"/>
  <c r="E7" i="5"/>
  <c r="D24" i="5" s="1"/>
  <c r="E24" i="5" s="1"/>
  <c r="D7" i="5"/>
  <c r="F16" i="5" s="1"/>
  <c r="C7" i="5"/>
  <c r="F9" i="4"/>
  <c r="F9" i="5" s="1"/>
  <c r="F26" i="5" s="1"/>
  <c r="F8" i="4"/>
  <c r="F8" i="5" s="1"/>
  <c r="F25" i="5" s="1"/>
  <c r="D9" i="4"/>
  <c r="D9" i="5" s="1"/>
  <c r="D8" i="4"/>
  <c r="D8" i="5" s="1"/>
  <c r="E9" i="4"/>
  <c r="G9" i="4" s="1"/>
  <c r="E8" i="4"/>
  <c r="E8" i="5" s="1"/>
  <c r="D25" i="5" s="1"/>
  <c r="E25" i="5" s="1"/>
  <c r="C9" i="4"/>
  <c r="C9" i="5" s="1"/>
  <c r="D18" i="5" s="1"/>
  <c r="E18" i="5" s="1"/>
  <c r="C8" i="4"/>
  <c r="C8" i="5" s="1"/>
  <c r="H7" i="4"/>
  <c r="G7" i="4"/>
  <c r="F40" i="4"/>
  <c r="E40" i="4"/>
  <c r="D40" i="4"/>
  <c r="C40" i="4"/>
  <c r="H38" i="4"/>
  <c r="G38" i="4"/>
  <c r="H37" i="4"/>
  <c r="G37" i="4"/>
  <c r="F30" i="4"/>
  <c r="E30" i="4"/>
  <c r="D30" i="4"/>
  <c r="C30" i="4"/>
  <c r="H28" i="4"/>
  <c r="G28" i="4"/>
  <c r="H27" i="4"/>
  <c r="G27" i="4"/>
  <c r="H26" i="4"/>
  <c r="F20" i="4"/>
  <c r="E20" i="4"/>
  <c r="D20" i="4"/>
  <c r="C20" i="4"/>
  <c r="H18" i="4"/>
  <c r="G18" i="4"/>
  <c r="H17" i="4"/>
  <c r="G17" i="4"/>
  <c r="H16" i="4"/>
  <c r="G16" i="4"/>
  <c r="H308" i="3"/>
  <c r="H307" i="3"/>
  <c r="D310" i="3"/>
  <c r="D364" i="1"/>
  <c r="I308" i="3"/>
  <c r="I307" i="3"/>
  <c r="D177" i="2"/>
  <c r="H175" i="2"/>
  <c r="H177" i="2" s="1"/>
  <c r="H174" i="2"/>
  <c r="I175" i="2"/>
  <c r="I174" i="2"/>
  <c r="I173" i="2"/>
  <c r="I177" i="2" s="1"/>
  <c r="G310" i="3"/>
  <c r="F310" i="3"/>
  <c r="E310" i="3"/>
  <c r="H310" i="3"/>
  <c r="G177" i="2"/>
  <c r="F177" i="2"/>
  <c r="E177" i="2"/>
  <c r="I362" i="1"/>
  <c r="I361" i="1"/>
  <c r="I360" i="1"/>
  <c r="G364" i="1"/>
  <c r="H362" i="1"/>
  <c r="H364" i="1" s="1"/>
  <c r="H360" i="1"/>
  <c r="H361" i="1"/>
  <c r="F364" i="1"/>
  <c r="E364" i="1"/>
  <c r="I326" i="3" l="1"/>
  <c r="I364" i="1"/>
  <c r="I379" i="1"/>
  <c r="I369" i="1"/>
  <c r="I378" i="1"/>
  <c r="I381" i="1" s="1"/>
  <c r="I377" i="1"/>
  <c r="I328" i="3"/>
  <c r="I371" i="1"/>
  <c r="I370" i="1"/>
  <c r="I373" i="1" s="1"/>
  <c r="H9" i="4"/>
  <c r="C11" i="4"/>
  <c r="F11" i="4"/>
  <c r="E9" i="5"/>
  <c r="D26" i="5" s="1"/>
  <c r="E26" i="5" s="1"/>
  <c r="H26" i="5" s="1"/>
  <c r="G8" i="4"/>
  <c r="G7" i="5"/>
  <c r="D16" i="5"/>
  <c r="E16" i="5" s="1"/>
  <c r="H16" i="5" s="1"/>
  <c r="G8" i="5"/>
  <c r="D17" i="5"/>
  <c r="E17" i="5" s="1"/>
  <c r="H9" i="5"/>
  <c r="F18" i="5"/>
  <c r="H18" i="5" s="1"/>
  <c r="H24" i="5"/>
  <c r="H8" i="5"/>
  <c r="F17" i="5"/>
  <c r="H25" i="5"/>
  <c r="E11" i="5"/>
  <c r="F11" i="5"/>
  <c r="H7" i="5"/>
  <c r="H8" i="4"/>
  <c r="H11" i="4" s="1"/>
  <c r="D11" i="4"/>
  <c r="E11" i="4"/>
  <c r="G30" i="4"/>
  <c r="G40" i="4"/>
  <c r="G11" i="4"/>
  <c r="G20" i="4"/>
  <c r="H40" i="4"/>
  <c r="H20" i="4"/>
  <c r="H30" i="4"/>
  <c r="I310" i="3"/>
  <c r="I195" i="2" l="1"/>
  <c r="I187" i="2"/>
  <c r="G9" i="5"/>
  <c r="H11" i="5"/>
  <c r="H17" i="5"/>
  <c r="H20" i="5" s="1"/>
  <c r="G11" i="5"/>
  <c r="H28" i="5"/>
</calcChain>
</file>

<file path=xl/sharedStrings.xml><?xml version="1.0" encoding="utf-8"?>
<sst xmlns="http://schemas.openxmlformats.org/spreadsheetml/2006/main" count="3462" uniqueCount="445">
  <si>
    <t>JOSSY</t>
  </si>
  <si>
    <t>BU JOKO 2</t>
  </si>
  <si>
    <t>FITRI  BOTOL 400ML</t>
  </si>
  <si>
    <t>Cash</t>
  </si>
  <si>
    <t>FITRI BOTOL 800ML</t>
  </si>
  <si>
    <t>UD. RIRIN</t>
  </si>
  <si>
    <t>TOKO ALFIN MART</t>
  </si>
  <si>
    <t>SINAR BAROKAH</t>
  </si>
  <si>
    <t>FITRI BOTOL 200ML</t>
  </si>
  <si>
    <t>TOKO UMI</t>
  </si>
  <si>
    <t>PUTRA KEMBAR</t>
  </si>
  <si>
    <t>TOKO KARTI</t>
  </si>
  <si>
    <t>POJOK/GUNARSO</t>
  </si>
  <si>
    <t>TOKO SLAMET</t>
  </si>
  <si>
    <t>TOKO PAK MUL</t>
  </si>
  <si>
    <t>TOKO FAIZAL</t>
  </si>
  <si>
    <t>TOKO DEWI</t>
  </si>
  <si>
    <t>TOKO TITIS JAYA</t>
  </si>
  <si>
    <t>SEVEN ELEVEN 2</t>
  </si>
  <si>
    <t>SEVEN ELEVEN</t>
  </si>
  <si>
    <t>TOKO NANO</t>
  </si>
  <si>
    <t>TOKO VAROS JAYA</t>
  </si>
  <si>
    <t>TOKO ARFA KEMBAR</t>
  </si>
  <si>
    <t>TISZA MART</t>
  </si>
  <si>
    <t>TOKO PUTRI</t>
  </si>
  <si>
    <t>TOKO JOSSY</t>
  </si>
  <si>
    <t>TOKO NURUL</t>
  </si>
  <si>
    <t>KHARISMA SWALAYAN</t>
  </si>
  <si>
    <t>TOKO AL BAROKAH MART</t>
  </si>
  <si>
    <t>TOKO SOBARI</t>
  </si>
  <si>
    <t>TOKO SEPTI</t>
  </si>
  <si>
    <t>TOKO BU NANI</t>
  </si>
  <si>
    <t>TOKO TOHIR</t>
  </si>
  <si>
    <t>TOKO NOVAL</t>
  </si>
  <si>
    <t>TOKO PAK AHMAD</t>
  </si>
  <si>
    <t>TOKO LANGGENG</t>
  </si>
  <si>
    <t>TOKO MITRA</t>
  </si>
  <si>
    <t>BAGUS CELL</t>
  </si>
  <si>
    <t>TOKO KARSIMIN</t>
  </si>
  <si>
    <t>TOKO HABIB</t>
  </si>
  <si>
    <t>TOKO SUWITO</t>
  </si>
  <si>
    <t>MAJU MAKMUR</t>
  </si>
  <si>
    <t>TOKO AMIN</t>
  </si>
  <si>
    <t>TOKO PAK SLAMET</t>
  </si>
  <si>
    <t>TOKO FAMILI</t>
  </si>
  <si>
    <t>TOKO KASINAH</t>
  </si>
  <si>
    <t>TOKO KANAYA</t>
  </si>
  <si>
    <t>TOKO MASRUR</t>
  </si>
  <si>
    <t>TOKO SULAIMAN</t>
  </si>
  <si>
    <t>TOKO DAR</t>
  </si>
  <si>
    <t>TOKO HANA LULU</t>
  </si>
  <si>
    <t>TOKO PAK SUDI</t>
  </si>
  <si>
    <t>TOKO HARTONO 3</t>
  </si>
  <si>
    <t>TOKO YUSRO</t>
  </si>
  <si>
    <t>TOKO KAYRA</t>
  </si>
  <si>
    <t>TOKO AGUS PLASTIK</t>
  </si>
  <si>
    <t>TOKO SRC ANUGRAH</t>
  </si>
  <si>
    <t>BU TRISNO</t>
  </si>
  <si>
    <t>TOKO FAMILY</t>
  </si>
  <si>
    <t>TOKO BARU</t>
  </si>
  <si>
    <t>TOKO BERKAH/SELIPAN</t>
  </si>
  <si>
    <t>TOKO TUTI</t>
  </si>
  <si>
    <t>TOKO LESTARI</t>
  </si>
  <si>
    <t>Tanggal</t>
  </si>
  <si>
    <t>Jenis Pembayaran</t>
  </si>
  <si>
    <t>FB200</t>
  </si>
  <si>
    <t>FB400</t>
  </si>
  <si>
    <t>FB800</t>
  </si>
  <si>
    <t>MEVA CELL</t>
  </si>
  <si>
    <t>Kredit</t>
  </si>
  <si>
    <t>TOKO AMAN MAKMUR</t>
  </si>
  <si>
    <t>SUMBER BERKAH</t>
  </si>
  <si>
    <t>TOKO AL FAZA</t>
  </si>
  <si>
    <t>TOKO PUAS MART</t>
  </si>
  <si>
    <t>TANTE DHEPY</t>
  </si>
  <si>
    <t>TOKO SASA</t>
  </si>
  <si>
    <t>TOKO ESTI</t>
  </si>
  <si>
    <t>TOKO AGUS SETIAWAN</t>
  </si>
  <si>
    <t>TOKO WIJI</t>
  </si>
  <si>
    <t>TOKO ENYONG CELL</t>
  </si>
  <si>
    <t>TOKO MANGSUD</t>
  </si>
  <si>
    <t>GAMBLOK BARU</t>
  </si>
  <si>
    <t>TOKO DIDI</t>
  </si>
  <si>
    <t>TOKO TASNIM MART</t>
  </si>
  <si>
    <t>TOKO SAYOTO</t>
  </si>
  <si>
    <t>TOKO SULIS/NOVI</t>
  </si>
  <si>
    <t>SUMBER REJEKI</t>
  </si>
  <si>
    <t>TOKO SANG BARU</t>
  </si>
  <si>
    <t>TOKO ULFAH</t>
  </si>
  <si>
    <t>TOKO KELOR MAS</t>
  </si>
  <si>
    <t>TOKO CAHAYA</t>
  </si>
  <si>
    <t>TOKO BONI</t>
  </si>
  <si>
    <t>TOKO MUKTI 2</t>
  </si>
  <si>
    <t>TOKO ANANDA</t>
  </si>
  <si>
    <t>TOKO DARYONO</t>
  </si>
  <si>
    <t>TOKO DAYEM</t>
  </si>
  <si>
    <t>TOKO GALUH</t>
  </si>
  <si>
    <t>TOKO KAMISAH</t>
  </si>
  <si>
    <t>TOKO YUMNA</t>
  </si>
  <si>
    <t>TOKO SUROJOYO</t>
  </si>
  <si>
    <t>TOKO JB MRETANI</t>
  </si>
  <si>
    <t>TOKO ERLIN</t>
  </si>
  <si>
    <t>TOKO UDIN</t>
  </si>
  <si>
    <t>TOKO YASIN</t>
  </si>
  <si>
    <t>TOKO KIOS PKK</t>
  </si>
  <si>
    <t>TOKO KARNI</t>
  </si>
  <si>
    <t>TOKO KU</t>
  </si>
  <si>
    <t>KIOS WATI BUAH</t>
  </si>
  <si>
    <t>TOKO KIRNO</t>
  </si>
  <si>
    <t>TOKO CACA</t>
  </si>
  <si>
    <t>TOKO PAK MISOM</t>
  </si>
  <si>
    <t>TOKO MIE KANG BEJO</t>
  </si>
  <si>
    <t>TOKO ZEEN</t>
  </si>
  <si>
    <t>ARKHA MART</t>
  </si>
  <si>
    <t>SRC BLEKHATUK</t>
  </si>
  <si>
    <t>TOKO BU NINING</t>
  </si>
  <si>
    <t>TOKO BERKAH</t>
  </si>
  <si>
    <t>TOKO BARU SWALAYAN</t>
  </si>
  <si>
    <t>TOKO SRC WIWI</t>
  </si>
  <si>
    <t>TOKO SAKIMAH</t>
  </si>
  <si>
    <t>TOKO SIDOMULYO</t>
  </si>
  <si>
    <t>TOKO BU MUJI</t>
  </si>
  <si>
    <t>TOKO SITUM</t>
  </si>
  <si>
    <t>TOKO YANI</t>
  </si>
  <si>
    <t>TOKO PAINEM</t>
  </si>
  <si>
    <t>TOKO HUSNA</t>
  </si>
  <si>
    <t>TOKO BU AROH</t>
  </si>
  <si>
    <t>TOKO KUSNANTO</t>
  </si>
  <si>
    <t>TOKO MBA NUR</t>
  </si>
  <si>
    <t>TOKO SISWANTO</t>
  </si>
  <si>
    <t>TOKO IQBAL</t>
  </si>
  <si>
    <t>TOKO WARISAH</t>
  </si>
  <si>
    <t>TOKO SUKARNI</t>
  </si>
  <si>
    <t>TOKO PRIMA</t>
  </si>
  <si>
    <t>TOKO RUKUN SAYUR</t>
  </si>
  <si>
    <t>TOKO ANI</t>
  </si>
  <si>
    <t>TOKO AMEL</t>
  </si>
  <si>
    <t>TOKO SUBROTO</t>
  </si>
  <si>
    <t>TOKO SRC NIKMAH</t>
  </si>
  <si>
    <t>TOKO RURI</t>
  </si>
  <si>
    <t>TOKO BAD SAYUR</t>
  </si>
  <si>
    <t>TOKO CITIR BUAH</t>
  </si>
  <si>
    <t>TOKO BU KANIT</t>
  </si>
  <si>
    <t>TOKO YONO</t>
  </si>
  <si>
    <t>TOKO BU MINAH</t>
  </si>
  <si>
    <t>TOKO BAMBANG</t>
  </si>
  <si>
    <t>TOKO PURWANTO</t>
  </si>
  <si>
    <t>TOKO SRC KARUNIA</t>
  </si>
  <si>
    <t>TOKO ANYAR</t>
  </si>
  <si>
    <t>TOKO SUPARMAN</t>
  </si>
  <si>
    <t>TOKO JAYA WIJAYA</t>
  </si>
  <si>
    <t>TOKO SITI</t>
  </si>
  <si>
    <t>TOKO EKA SARI</t>
  </si>
  <si>
    <t>TOKO TINI/HADI SUWITO</t>
  </si>
  <si>
    <t>TOKO ATUN</t>
  </si>
  <si>
    <t>TOKO SRC CITRA</t>
  </si>
  <si>
    <t>TOKO ANJAR</t>
  </si>
  <si>
    <t>TOKO SRC SETIA HATI</t>
  </si>
  <si>
    <t>TOKO SAMSUDIN</t>
  </si>
  <si>
    <t>TOKO ACHI MART</t>
  </si>
  <si>
    <t>TOKO CERIA</t>
  </si>
  <si>
    <t>TOKO SAODAH</t>
  </si>
  <si>
    <t>TOKO BU ARI</t>
  </si>
  <si>
    <t>SINAR DOROWATI</t>
  </si>
  <si>
    <t>TOKO AZAHRAH</t>
  </si>
  <si>
    <t>TOKO IDAMAN</t>
  </si>
  <si>
    <t>TOKO KANZA</t>
  </si>
  <si>
    <t>TOKO SULIYAH</t>
  </si>
  <si>
    <t>TOKO UMI/OLA</t>
  </si>
  <si>
    <t>TOKO MARSILAH</t>
  </si>
  <si>
    <t>TOKO BU SITI</t>
  </si>
  <si>
    <t>TOKO YATI</t>
  </si>
  <si>
    <t>SRC SUMBER BERKAH</t>
  </si>
  <si>
    <t>TOKO VICKY</t>
  </si>
  <si>
    <t>TOKO LAPANGAN</t>
  </si>
  <si>
    <t>TOKO KUSUMA INDAH</t>
  </si>
  <si>
    <t>TOKO SRC LATIFA</t>
  </si>
  <si>
    <t>SAMUDRA SAYUR</t>
  </si>
  <si>
    <t>PUSAKA INDAH</t>
  </si>
  <si>
    <t>TOKO AN NAJAH</t>
  </si>
  <si>
    <t>TOKO MEGALIA</t>
  </si>
  <si>
    <t>TOKO SARIYAH</t>
  </si>
  <si>
    <t>TOKO PONIAH</t>
  </si>
  <si>
    <t>TOKO CAHAYA 3</t>
  </si>
  <si>
    <t>RISKA SAYURAN</t>
  </si>
  <si>
    <t>TOKO PUJI</t>
  </si>
  <si>
    <t>MUSTIKA JAYA</t>
  </si>
  <si>
    <t>TOKO HANA SAPTIKO MULYO</t>
  </si>
  <si>
    <t>TOKO TINEM</t>
  </si>
  <si>
    <t>TOKO REJO</t>
  </si>
  <si>
    <t>TOKO MBAK CATUR</t>
  </si>
  <si>
    <t>TOKO AS-TSABIT</t>
  </si>
  <si>
    <t>QTY</t>
  </si>
  <si>
    <t>NOMINAL</t>
  </si>
  <si>
    <t>CASH</t>
  </si>
  <si>
    <t>NOM</t>
  </si>
  <si>
    <t>RAJU</t>
  </si>
  <si>
    <t>TOKO SUKRON</t>
  </si>
  <si>
    <t>TOKO BARU JAYA</t>
  </si>
  <si>
    <t>TOKO KIOS PATRA</t>
  </si>
  <si>
    <t>TOKO YINTA</t>
  </si>
  <si>
    <t>TOKO YANTI</t>
  </si>
  <si>
    <t>TOKO SOLEHUDIN</t>
  </si>
  <si>
    <t>TOKO KURNIA CELL</t>
  </si>
  <si>
    <t>TOKO SUMI</t>
  </si>
  <si>
    <t>TOKO PUTRA BARU</t>
  </si>
  <si>
    <t>TOKO ARTHA JAYA</t>
  </si>
  <si>
    <t>RS PERMATA MEDIKA</t>
  </si>
  <si>
    <t>TOKO TASMINO</t>
  </si>
  <si>
    <t>TOKO LIBBY</t>
  </si>
  <si>
    <t>TOKO WALUYO</t>
  </si>
  <si>
    <t>AGUS/MARYATUN</t>
  </si>
  <si>
    <t>TOKO KOMARYATI</t>
  </si>
  <si>
    <t>WL SWALAYAN</t>
  </si>
  <si>
    <t>TOKO TUKIJAN</t>
  </si>
  <si>
    <t>TOKO JAHIR</t>
  </si>
  <si>
    <t>TOKO KEJAYAN</t>
  </si>
  <si>
    <t>TOKO KOSIDAH</t>
  </si>
  <si>
    <t>TOKO RANTI</t>
  </si>
  <si>
    <t>TOKO SARI USAHA</t>
  </si>
  <si>
    <t>TOKO ANISA</t>
  </si>
  <si>
    <t>TOKO IBU WELAS</t>
  </si>
  <si>
    <t>TOKO ANDI</t>
  </si>
  <si>
    <t>TOKO JATMIKO</t>
  </si>
  <si>
    <t>TOKO ROHANI</t>
  </si>
  <si>
    <t>TOKO OKI SUBUR</t>
  </si>
  <si>
    <t>TOKO HASAN</t>
  </si>
  <si>
    <t>TOKO SAHLIL</t>
  </si>
  <si>
    <t>TOKO IRMA</t>
  </si>
  <si>
    <t>TOKO MANJA</t>
  </si>
  <si>
    <t>TOKO IBU ATUN</t>
  </si>
  <si>
    <t>FAKIH</t>
  </si>
  <si>
    <t>TOKO DEASRI</t>
  </si>
  <si>
    <t>TOKO CHOLID</t>
  </si>
  <si>
    <t>TOKO AL HIKMAH</t>
  </si>
  <si>
    <t>TOKO MINI JAYA</t>
  </si>
  <si>
    <t>PUTRA BARU SWALAYAN</t>
  </si>
  <si>
    <t>TOKO OKI/ARETA</t>
  </si>
  <si>
    <t>TOKO RIZKY</t>
  </si>
  <si>
    <t>TOKO BU MAR</t>
  </si>
  <si>
    <t>TOKO SUTIMAH</t>
  </si>
  <si>
    <t>TOKO LUCKY</t>
  </si>
  <si>
    <t>SRC CAHAYA ABADI</t>
  </si>
  <si>
    <t>TOKO HUSADA</t>
  </si>
  <si>
    <t>BUMDES MAPAN 2</t>
  </si>
  <si>
    <t>BUMDES MAPAN 1</t>
  </si>
  <si>
    <t>TOKO SILMI</t>
  </si>
  <si>
    <t>TOKO UMAT</t>
  </si>
  <si>
    <t>JADI BARU</t>
  </si>
  <si>
    <t>TOKO AKROM</t>
  </si>
  <si>
    <t>TOKO DANANG</t>
  </si>
  <si>
    <t>TOKO RAJU</t>
  </si>
  <si>
    <t>TOKO MAHYA</t>
  </si>
  <si>
    <t>TOKO PUTRI LESTARI</t>
  </si>
  <si>
    <t>TOKO BU NUR</t>
  </si>
  <si>
    <t>TOKO NIKMATIN</t>
  </si>
  <si>
    <t>TOKO SHEKH</t>
  </si>
  <si>
    <t>TOKO SARYADI</t>
  </si>
  <si>
    <t>TOKO TOIPAH</t>
  </si>
  <si>
    <t>TOKO ROSIDAH</t>
  </si>
  <si>
    <t>TOKO MUNIAH</t>
  </si>
  <si>
    <t>TOKO MUJIANTO</t>
  </si>
  <si>
    <t>TOKO ALFIN</t>
  </si>
  <si>
    <t>TOKO MUGI BERKAH</t>
  </si>
  <si>
    <t>TOKO YUDI</t>
  </si>
  <si>
    <t>BU WENI</t>
  </si>
  <si>
    <t>TOKO SRC GUN</t>
  </si>
  <si>
    <t>TOKO NADIRA</t>
  </si>
  <si>
    <t>TOKO NGATINO</t>
  </si>
  <si>
    <t>TOKO SINAR MULYA</t>
  </si>
  <si>
    <t>TOKO SRI</t>
  </si>
  <si>
    <t>TOKO TRI REJEKI</t>
  </si>
  <si>
    <t>TOKO TRI</t>
  </si>
  <si>
    <t>TOKO NANI</t>
  </si>
  <si>
    <t>TOKO ELA</t>
  </si>
  <si>
    <t>TOKO ARETTA</t>
  </si>
  <si>
    <t>TOKO ENDAH</t>
  </si>
  <si>
    <t>TOKO RIZAL</t>
  </si>
  <si>
    <t>TOKO PAK SUGENG</t>
  </si>
  <si>
    <t>ANYAR SWALAYAN</t>
  </si>
  <si>
    <t>TOKO TUMIJAN</t>
  </si>
  <si>
    <t>TOKO IIS</t>
  </si>
  <si>
    <t>TOKO AA MART</t>
  </si>
  <si>
    <t>TOKO BU SUSI</t>
  </si>
  <si>
    <t>TOKO BERKAH BUMI</t>
  </si>
  <si>
    <t>TOKO EKI</t>
  </si>
  <si>
    <t>TOKO IBU RUM</t>
  </si>
  <si>
    <t>TOKO DHIJAYA</t>
  </si>
  <si>
    <t>TOKO INDRI</t>
  </si>
  <si>
    <t>TOKO H. MUHDIR</t>
  </si>
  <si>
    <t>AFFA MART</t>
  </si>
  <si>
    <t>HAFID</t>
  </si>
  <si>
    <t>TOKO WIWIN</t>
  </si>
  <si>
    <t>TOKO BAKSO ANANDA</t>
  </si>
  <si>
    <t>TOKO SULIS</t>
  </si>
  <si>
    <t>TOKO BU JANNAH</t>
  </si>
  <si>
    <t>TOKO NANANG</t>
  </si>
  <si>
    <t>TOKO UCOK</t>
  </si>
  <si>
    <t>TOKO BANON JAYA</t>
  </si>
  <si>
    <t>TOKO NARTI</t>
  </si>
  <si>
    <t>TOKO WANDI</t>
  </si>
  <si>
    <t>TOKO LISMA JAYA</t>
  </si>
  <si>
    <t>CANTIKA CELL</t>
  </si>
  <si>
    <t>TOKO AZKA</t>
  </si>
  <si>
    <t>TOKO SUPRIYANTO</t>
  </si>
  <si>
    <t>TOKO AYU</t>
  </si>
  <si>
    <t>TOKO AL BAROKAH</t>
  </si>
  <si>
    <t>TOKO TOHID</t>
  </si>
  <si>
    <t>TOKO DESTY</t>
  </si>
  <si>
    <t>TOKO WATI</t>
  </si>
  <si>
    <t>TOKO LKA</t>
  </si>
  <si>
    <t>LANGGENG CELL</t>
  </si>
  <si>
    <t>TOKO AISYAH</t>
  </si>
  <si>
    <t>RIFQY CELL</t>
  </si>
  <si>
    <t>TOKO LINDA</t>
  </si>
  <si>
    <t>TOKO SAFANIYAH</t>
  </si>
  <si>
    <t>TOKO RAMIN</t>
  </si>
  <si>
    <t>TOKO AURA RANGKAH</t>
  </si>
  <si>
    <t>TOKO AURA</t>
  </si>
  <si>
    <t>SINAR MR</t>
  </si>
  <si>
    <t>TOKO YULI</t>
  </si>
  <si>
    <t>TOKO GOTIN</t>
  </si>
  <si>
    <t>TOKO BU ANWAR</t>
  </si>
  <si>
    <t>TOKO WIWI</t>
  </si>
  <si>
    <t>BU MARSIO</t>
  </si>
  <si>
    <t>TOKO SINAR PASIR</t>
  </si>
  <si>
    <t>TOKO RATNA</t>
  </si>
  <si>
    <t>TOKO KALAPACUNG</t>
  </si>
  <si>
    <t>TOKO SINAR MART</t>
  </si>
  <si>
    <t>TOKO MUSLIMAT</t>
  </si>
  <si>
    <t>TOKO SAMINI</t>
  </si>
  <si>
    <t>TOKO JAENAL</t>
  </si>
  <si>
    <t>TOKO SINAR</t>
  </si>
  <si>
    <t>TOKO  OO</t>
  </si>
  <si>
    <t>RAHMAT/AHMAD</t>
  </si>
  <si>
    <t>MAJU BERSAMA</t>
  </si>
  <si>
    <t>DEPO BELANJA</t>
  </si>
  <si>
    <t>TOKO EVAN JAYA</t>
  </si>
  <si>
    <t>MITRA SEHATI</t>
  </si>
  <si>
    <t>TOKO SHEILA</t>
  </si>
  <si>
    <t>WARUNG MURSA</t>
  </si>
  <si>
    <t>TOKO SURYA MART</t>
  </si>
  <si>
    <t>TOKO MUSLIH</t>
  </si>
  <si>
    <t>JIO</t>
  </si>
  <si>
    <t>TOKO BARJONO</t>
  </si>
  <si>
    <t>TOKO CHASANAH</t>
  </si>
  <si>
    <t>TOKO WARAS</t>
  </si>
  <si>
    <t>TOKO DJONO</t>
  </si>
  <si>
    <t>TOKO MARNI</t>
  </si>
  <si>
    <t>TOKO MAIZA</t>
  </si>
  <si>
    <t>TOKO MISLAM</t>
  </si>
  <si>
    <t>TOKO PARTI</t>
  </si>
  <si>
    <t>TOKO ASIH</t>
  </si>
  <si>
    <t>TOKO ADRI</t>
  </si>
  <si>
    <t>TOKO LASIO</t>
  </si>
  <si>
    <t>TOKO BU TUTI</t>
  </si>
  <si>
    <t>TOKO LILI</t>
  </si>
  <si>
    <t>TOKO LASIKEM</t>
  </si>
  <si>
    <t>TOKO KARTIAH</t>
  </si>
  <si>
    <t>TOKO SRI ATUN</t>
  </si>
  <si>
    <t>TOKO MEYLA</t>
  </si>
  <si>
    <t>SHINTA MART</t>
  </si>
  <si>
    <t>TOKO YUNI</t>
  </si>
  <si>
    <t>TOKO BANGUN</t>
  </si>
  <si>
    <t>TOKO TUNJIAH</t>
  </si>
  <si>
    <t>TOKO WAHONO</t>
  </si>
  <si>
    <t>TOKO RATI</t>
  </si>
  <si>
    <t>SUMBER MAKMUR</t>
  </si>
  <si>
    <t>TOKO AQILA</t>
  </si>
  <si>
    <t>PUTRA MANDIRI</t>
  </si>
  <si>
    <t>TOKO MARSIH</t>
  </si>
  <si>
    <t>TOKO DIAN</t>
  </si>
  <si>
    <t>TOKO SARTINI</t>
  </si>
  <si>
    <t>TOKO SYUKUR</t>
  </si>
  <si>
    <t>TOKO RUDI</t>
  </si>
  <si>
    <t>TOKO SHINTA</t>
  </si>
  <si>
    <t>TOKO BU YUNG</t>
  </si>
  <si>
    <t>TOKO BRASIL</t>
  </si>
  <si>
    <t>TOKO KIKI</t>
  </si>
  <si>
    <t>TOKO EDI SUNARYO</t>
  </si>
  <si>
    <t>TOKO SIPUR</t>
  </si>
  <si>
    <t>TK KANG BAWOR</t>
  </si>
  <si>
    <t>PAK PAITON</t>
  </si>
  <si>
    <t>TOKO CANDRA</t>
  </si>
  <si>
    <t>TOKO HAFID</t>
  </si>
  <si>
    <t>TOKO MUKTI</t>
  </si>
  <si>
    <t>TOKO MARMO</t>
  </si>
  <si>
    <t>TOKO SUYATNO</t>
  </si>
  <si>
    <t>TOKO WAWAN</t>
  </si>
  <si>
    <t>BU SOPAN</t>
  </si>
  <si>
    <t>TOKO AL HAYAN</t>
  </si>
  <si>
    <t>TOKO MIRAH</t>
  </si>
  <si>
    <t>TEGUH CELL</t>
  </si>
  <si>
    <t>TOKO SUSILO</t>
  </si>
  <si>
    <t>SOFI</t>
  </si>
  <si>
    <t>TOKO MUKTI JAYA</t>
  </si>
  <si>
    <t>TOKO NENI</t>
  </si>
  <si>
    <t>TOKO SARLI</t>
  </si>
  <si>
    <t>SINAR PURWOGONDO</t>
  </si>
  <si>
    <t>PURING INDAH</t>
  </si>
  <si>
    <t>TOKO NASWA</t>
  </si>
  <si>
    <t>TOKO REZATA</t>
  </si>
  <si>
    <t>TOKO 99 A MART</t>
  </si>
  <si>
    <t>TOKO ASRORI</t>
  </si>
  <si>
    <t>TOKO BAYU</t>
  </si>
  <si>
    <t>TOKO WAGIMAN</t>
  </si>
  <si>
    <t>TOKO NINING</t>
  </si>
  <si>
    <t>TOKO SURAS</t>
  </si>
  <si>
    <t>BU SUGI</t>
  </si>
  <si>
    <t>TOKO SARTI</t>
  </si>
  <si>
    <t>TOTAL</t>
  </si>
  <si>
    <t>penjualan Jossy</t>
  </si>
  <si>
    <t>penjualan raju</t>
  </si>
  <si>
    <t>penjualan hafid</t>
  </si>
  <si>
    <t>Produk</t>
  </si>
  <si>
    <t>Customer</t>
  </si>
  <si>
    <t>Sales</t>
  </si>
  <si>
    <t>Nominal</t>
  </si>
  <si>
    <t>Harga jual</t>
  </si>
  <si>
    <t>QTY Penjualan ( krat)</t>
  </si>
  <si>
    <t>KREDIT / TEMPO</t>
  </si>
  <si>
    <t>KREDIT  / TEMPO</t>
  </si>
  <si>
    <t>TOTAL ALL SALES</t>
  </si>
  <si>
    <t>PENJUALAN ALL SALES</t>
  </si>
  <si>
    <t>PRODUK</t>
  </si>
  <si>
    <t>HARGA BELI</t>
  </si>
  <si>
    <t>PROFIT CASH</t>
  </si>
  <si>
    <t>NOMINAL PENJUALAN</t>
  </si>
  <si>
    <t>NOM PEMBELIAN</t>
  </si>
  <si>
    <t>PROFIT TEMPO</t>
  </si>
  <si>
    <t>QTY TERJUAL CASH</t>
  </si>
  <si>
    <t>QTY TERJUAL TEMPO</t>
  </si>
  <si>
    <t>PENJUALAN CASH</t>
  </si>
  <si>
    <t>PENJUALAN KREDIT / TEMPO</t>
  </si>
  <si>
    <t xml:space="preserve">TOTAL PENJUALAN </t>
  </si>
  <si>
    <t>PROFIT CASH ALL SALES</t>
  </si>
  <si>
    <t>PROFIT TEMPO ALL SALES</t>
  </si>
  <si>
    <t>PROFIT MEI 2026</t>
  </si>
  <si>
    <t>PROFIT CASH JOSSY</t>
  </si>
  <si>
    <t>PROFIT TEMPO JOSSY</t>
  </si>
  <si>
    <t>PROFIT CAS HAFID</t>
  </si>
  <si>
    <t xml:space="preserve">  </t>
  </si>
  <si>
    <t>PROFIT TEMPO HAFID</t>
  </si>
  <si>
    <t>PROFIT TEMPO RAJU</t>
  </si>
  <si>
    <t>PROFIT CASH RAJU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</si>
</sst>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(&quot;Rp&quot;\ * #,##0_);_(&quot;Rp&quot;\ * \(#,##0\);_(&quot;Rp&quot;\ * &quot;-&quot;_);_(@_)"/>
    <numFmt numFmtId="41" formatCode="_(* #,##0_);_(* \(#,##0\);_(* &quot;-&quot;_);_(@_)"/>
    <numFmt numFmtId="164" formatCode="_(&quot;Rp&quot;\ * #,##0_);_(&quot;Rp&quot;\ * \(#,##0\);_(&quot;Rp&quot;\ 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1" xfId="0" applyNumberFormat="1" applyBorder="1"/>
    <xf numFmtId="0" fontId="0" fillId="2" borderId="1" xfId="0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164" fontId="0" fillId="2" borderId="0" xfId="0" applyNumberFormat="1" applyFill="1"/>
    <xf numFmtId="0" fontId="1" fillId="0" borderId="6" xfId="0" applyFont="1" applyBorder="1"/>
    <xf numFmtId="164" fontId="0" fillId="0" borderId="2" xfId="0" applyNumberFormat="1" applyBorder="1"/>
    <xf numFmtId="164" fontId="0" fillId="2" borderId="2" xfId="0" applyNumberFormat="1" applyFill="1" applyBorder="1"/>
    <xf numFmtId="0" fontId="0" fillId="0" borderId="6" xfId="0" applyBorder="1"/>
    <xf numFmtId="0" fontId="0" fillId="0" borderId="7" xfId="0" applyBorder="1" applyAlignment="1">
      <alignment horizontal="center"/>
    </xf>
    <xf numFmtId="164" fontId="0" fillId="0" borderId="3" xfId="0" applyNumberFormat="1" applyBorder="1"/>
    <xf numFmtId="0" fontId="0" fillId="2" borderId="3" xfId="0" applyFill="1" applyBorder="1"/>
    <xf numFmtId="0" fontId="0" fillId="2" borderId="1" xfId="0" applyFill="1" applyBorder="1" applyAlignment="1">
      <alignment horizontal="center"/>
    </xf>
    <xf numFmtId="41" fontId="0" fillId="0" borderId="1" xfId="0" applyNumberFormat="1" applyBorder="1"/>
    <xf numFmtId="41" fontId="0" fillId="0" borderId="0" xfId="0" applyNumberFormat="1"/>
    <xf numFmtId="0" fontId="1" fillId="3" borderId="8" xfId="0" applyFont="1" applyFill="1" applyBorder="1"/>
    <xf numFmtId="0" fontId="1" fillId="3" borderId="9" xfId="0" applyFont="1" applyFill="1" applyBorder="1"/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0" xfId="0" applyFill="1" applyBorder="1"/>
    <xf numFmtId="0" fontId="0" fillId="3" borderId="12" xfId="0" applyFill="1" applyBorder="1"/>
    <xf numFmtId="41" fontId="0" fillId="3" borderId="11" xfId="0" applyNumberFormat="1" applyFill="1" applyBorder="1"/>
    <xf numFmtId="41" fontId="0" fillId="3" borderId="13" xfId="0" applyNumberFormat="1" applyFill="1" applyBorder="1"/>
    <xf numFmtId="164" fontId="0" fillId="3" borderId="11" xfId="0" applyNumberFormat="1" applyFill="1" applyBorder="1"/>
    <xf numFmtId="164" fontId="0" fillId="3" borderId="13" xfId="0" applyNumberFormat="1" applyFill="1" applyBorder="1"/>
    <xf numFmtId="42" fontId="0" fillId="3" borderId="11" xfId="0" applyNumberFormat="1" applyFill="1" applyBorder="1"/>
    <xf numFmtId="42" fontId="0" fillId="3" borderId="13" xfId="0" applyNumberFormat="1" applyFill="1" applyBorder="1"/>
    <xf numFmtId="41" fontId="0" fillId="3" borderId="10" xfId="0" applyNumberFormat="1" applyFill="1" applyBorder="1"/>
    <xf numFmtId="41" fontId="0" fillId="3" borderId="12" xfId="0" applyNumberFormat="1" applyFill="1" applyBorder="1"/>
    <xf numFmtId="0" fontId="1" fillId="0" borderId="0" xfId="0" applyFont="1"/>
    <xf numFmtId="0" fontId="0" fillId="0" borderId="2" xfId="0" applyBorder="1"/>
    <xf numFmtId="0" fontId="0" fillId="0" borderId="14" xfId="0" applyBorder="1"/>
    <xf numFmtId="0" fontId="0" fillId="0" borderId="5" xfId="0" applyBorder="1"/>
    <xf numFmtId="0" fontId="0" fillId="0" borderId="7" xfId="0" applyBorder="1"/>
    <xf numFmtId="0" fontId="0" fillId="0" borderId="4" xfId="0" applyBorder="1"/>
    <xf numFmtId="42" fontId="0" fillId="0" borderId="1" xfId="0" applyNumberFormat="1" applyBorder="1"/>
    <xf numFmtId="41" fontId="0" fillId="0" borderId="2" xfId="0" applyNumberFormat="1" applyBorder="1"/>
    <xf numFmtId="0" fontId="1" fillId="2" borderId="0" xfId="0" applyFont="1" applyFill="1"/>
    <xf numFmtId="0" fontId="0" fillId="2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805AC-186A-4786-95B0-42B20B43018D}">
  <dimension ref="B4:P40"/>
  <sheetViews>
    <sheetView topLeftCell="A24" workbookViewId="0">
      <selection activeCell="F43" sqref="F43"/>
    </sheetView>
  </sheetViews>
  <sheetFormatPr defaultRowHeight="15" x14ac:dyDescent="0.25"/>
  <cols>
    <col min="3" max="3" width="9.5703125" customWidth="1"/>
    <col min="4" max="4" width="18.5703125" customWidth="1"/>
    <col min="6" max="6" width="16.7109375" customWidth="1"/>
    <col min="8" max="8" width="15.28515625" customWidth="1"/>
    <col min="9" max="9" width="6.140625" customWidth="1"/>
    <col min="11" max="11" width="11.7109375" customWidth="1"/>
    <col min="12" max="12" width="7.28515625" customWidth="1"/>
    <col min="13" max="13" width="15.5703125" customWidth="1"/>
    <col min="14" max="14" width="16.140625" customWidth="1"/>
    <col min="15" max="15" width="14" customWidth="1"/>
  </cols>
  <sheetData>
    <row r="4" spans="2:16" ht="15.75" thickBot="1" x14ac:dyDescent="0.3">
      <c r="B4" s="36" t="s">
        <v>422</v>
      </c>
    </row>
    <row r="5" spans="2:16" x14ac:dyDescent="0.25">
      <c r="B5" s="38" t="s">
        <v>424</v>
      </c>
      <c r="C5" s="12" t="s">
        <v>194</v>
      </c>
      <c r="D5" s="12"/>
      <c r="E5" s="22" t="s">
        <v>420</v>
      </c>
      <c r="F5" s="23"/>
      <c r="G5" s="15" t="s">
        <v>410</v>
      </c>
      <c r="H5" s="10"/>
    </row>
    <row r="6" spans="2:16" x14ac:dyDescent="0.25">
      <c r="B6" s="39"/>
      <c r="C6" s="9" t="s">
        <v>192</v>
      </c>
      <c r="D6" s="8" t="s">
        <v>195</v>
      </c>
      <c r="E6" s="24" t="s">
        <v>192</v>
      </c>
      <c r="F6" s="25" t="s">
        <v>195</v>
      </c>
      <c r="G6" s="16" t="s">
        <v>192</v>
      </c>
      <c r="H6" s="3" t="s">
        <v>193</v>
      </c>
    </row>
    <row r="7" spans="2:16" x14ac:dyDescent="0.25">
      <c r="B7" s="39" t="s">
        <v>65</v>
      </c>
      <c r="C7" s="1">
        <v>3</v>
      </c>
      <c r="D7" s="13">
        <v>347400</v>
      </c>
      <c r="E7" s="34"/>
      <c r="F7" s="32"/>
      <c r="G7" s="10">
        <f t="shared" ref="G7:H9" si="0">SUM(C7+E7)</f>
        <v>3</v>
      </c>
      <c r="H7" s="6">
        <f t="shared" si="0"/>
        <v>347400</v>
      </c>
    </row>
    <row r="8" spans="2:16" x14ac:dyDescent="0.25">
      <c r="B8" s="1" t="s">
        <v>66</v>
      </c>
      <c r="C8" s="1">
        <f t="shared" ref="C8:F9" si="1">SUM(C17+C27+C37)</f>
        <v>327</v>
      </c>
      <c r="D8" s="13">
        <f t="shared" si="1"/>
        <v>36997600</v>
      </c>
      <c r="E8" s="34">
        <f t="shared" si="1"/>
        <v>561</v>
      </c>
      <c r="F8" s="32">
        <f t="shared" si="1"/>
        <v>63468800</v>
      </c>
      <c r="G8" s="10">
        <f t="shared" si="0"/>
        <v>888</v>
      </c>
      <c r="H8" s="6">
        <f t="shared" si="0"/>
        <v>100466400</v>
      </c>
    </row>
    <row r="9" spans="2:16" x14ac:dyDescent="0.25">
      <c r="B9" s="1" t="s">
        <v>67</v>
      </c>
      <c r="C9" s="1">
        <f t="shared" si="1"/>
        <v>693</v>
      </c>
      <c r="D9" s="13">
        <f t="shared" si="1"/>
        <v>147564300</v>
      </c>
      <c r="E9" s="34">
        <f t="shared" si="1"/>
        <v>1121</v>
      </c>
      <c r="F9" s="32">
        <f t="shared" si="1"/>
        <v>241127100</v>
      </c>
      <c r="G9" s="10">
        <f t="shared" si="0"/>
        <v>1814</v>
      </c>
      <c r="H9" s="6">
        <f t="shared" si="0"/>
        <v>388691400</v>
      </c>
    </row>
    <row r="10" spans="2:16" x14ac:dyDescent="0.25">
      <c r="B10" s="1"/>
      <c r="C10" s="1"/>
      <c r="D10" s="13"/>
      <c r="E10" s="34"/>
      <c r="F10" s="32"/>
      <c r="G10" s="10"/>
      <c r="H10" s="1"/>
    </row>
    <row r="11" spans="2:16" ht="15.75" thickBot="1" x14ac:dyDescent="0.3">
      <c r="B11" s="1"/>
      <c r="C11" s="1">
        <f t="shared" ref="C11:H11" si="2">SUM(C7:C9)</f>
        <v>1023</v>
      </c>
      <c r="D11" s="14">
        <f t="shared" si="2"/>
        <v>184909300</v>
      </c>
      <c r="E11" s="35">
        <f t="shared" si="2"/>
        <v>1682</v>
      </c>
      <c r="F11" s="33">
        <f t="shared" si="2"/>
        <v>304595900</v>
      </c>
      <c r="G11" s="18">
        <f t="shared" si="2"/>
        <v>2705</v>
      </c>
      <c r="H11" s="6">
        <f t="shared" si="2"/>
        <v>489505200</v>
      </c>
    </row>
    <row r="13" spans="2:16" ht="15.75" thickBot="1" x14ac:dyDescent="0.3">
      <c r="B13" s="36" t="s">
        <v>0</v>
      </c>
    </row>
    <row r="14" spans="2:16" x14ac:dyDescent="0.25">
      <c r="B14" s="38" t="s">
        <v>424</v>
      </c>
      <c r="C14" s="12" t="s">
        <v>194</v>
      </c>
      <c r="D14" s="12"/>
      <c r="E14" s="22" t="s">
        <v>420</v>
      </c>
      <c r="F14" s="23"/>
      <c r="G14" s="15" t="s">
        <v>410</v>
      </c>
      <c r="H14" s="10"/>
    </row>
    <row r="15" spans="2:16" x14ac:dyDescent="0.25">
      <c r="B15" s="41"/>
      <c r="C15" s="9" t="s">
        <v>192</v>
      </c>
      <c r="D15" s="8" t="s">
        <v>195</v>
      </c>
      <c r="E15" s="24" t="s">
        <v>192</v>
      </c>
      <c r="F15" s="25" t="s">
        <v>195</v>
      </c>
      <c r="G15" s="16" t="s">
        <v>192</v>
      </c>
      <c r="H15" s="3" t="s">
        <v>193</v>
      </c>
    </row>
    <row r="16" spans="2:16" x14ac:dyDescent="0.25">
      <c r="B16" s="39" t="s">
        <v>65</v>
      </c>
      <c r="C16" s="10">
        <v>3</v>
      </c>
      <c r="D16" s="13">
        <v>347400</v>
      </c>
      <c r="E16" s="26"/>
      <c r="F16" s="32">
        <v>3</v>
      </c>
      <c r="G16" s="10">
        <f t="shared" ref="G16:H18" si="3">SUM(C16+E16)</f>
        <v>3</v>
      </c>
      <c r="H16" s="6">
        <f t="shared" si="3"/>
        <v>347403</v>
      </c>
      <c r="K16" s="21"/>
      <c r="M16" s="21"/>
      <c r="N16" s="21"/>
      <c r="P16" s="5"/>
    </row>
    <row r="17" spans="2:16" x14ac:dyDescent="0.25">
      <c r="B17" s="39" t="s">
        <v>66</v>
      </c>
      <c r="C17" s="1">
        <v>142</v>
      </c>
      <c r="D17" s="13">
        <v>16051200</v>
      </c>
      <c r="E17" s="26">
        <v>152</v>
      </c>
      <c r="F17" s="32">
        <v>17193600</v>
      </c>
      <c r="G17" s="10">
        <f t="shared" si="3"/>
        <v>294</v>
      </c>
      <c r="H17" s="6">
        <f t="shared" si="3"/>
        <v>33244800</v>
      </c>
      <c r="K17" s="21"/>
      <c r="M17" s="21"/>
      <c r="N17" s="21"/>
      <c r="P17" s="5"/>
    </row>
    <row r="18" spans="2:16" x14ac:dyDescent="0.25">
      <c r="B18" s="1" t="s">
        <v>67</v>
      </c>
      <c r="C18" s="1">
        <v>354</v>
      </c>
      <c r="D18" s="13">
        <v>75545400</v>
      </c>
      <c r="E18" s="26">
        <v>393</v>
      </c>
      <c r="F18" s="32">
        <v>84534300</v>
      </c>
      <c r="G18" s="10">
        <f t="shared" si="3"/>
        <v>747</v>
      </c>
      <c r="H18" s="6">
        <f t="shared" si="3"/>
        <v>160079700</v>
      </c>
      <c r="K18" s="21"/>
      <c r="M18" s="21"/>
      <c r="N18" s="21"/>
      <c r="P18" s="5"/>
    </row>
    <row r="19" spans="2:16" x14ac:dyDescent="0.25">
      <c r="B19" s="1"/>
      <c r="C19" s="1"/>
      <c r="D19" s="13"/>
      <c r="E19" s="26"/>
      <c r="F19" s="32"/>
      <c r="G19" s="10"/>
      <c r="H19" s="1"/>
    </row>
    <row r="20" spans="2:16" ht="15.75" thickBot="1" x14ac:dyDescent="0.3">
      <c r="B20" s="1"/>
      <c r="C20" s="1">
        <f>SUM(C16:C18)</f>
        <v>499</v>
      </c>
      <c r="D20" s="14">
        <f>SUM(D16:D18)</f>
        <v>91944000</v>
      </c>
      <c r="E20" s="27">
        <f>SUM(E16:E18)</f>
        <v>545</v>
      </c>
      <c r="F20" s="33">
        <f>SUM(F16:F18)</f>
        <v>101727903</v>
      </c>
      <c r="G20" s="18">
        <f>SUM(G16:G18)</f>
        <v>1044</v>
      </c>
      <c r="H20" s="6">
        <f>SUM(H16:H19)</f>
        <v>193671903</v>
      </c>
      <c r="P20" s="5"/>
    </row>
    <row r="23" spans="2:16" ht="15.75" thickBot="1" x14ac:dyDescent="0.3">
      <c r="B23" s="36" t="s">
        <v>196</v>
      </c>
    </row>
    <row r="24" spans="2:16" x14ac:dyDescent="0.25">
      <c r="B24" s="38" t="s">
        <v>424</v>
      </c>
      <c r="C24" s="12" t="s">
        <v>194</v>
      </c>
      <c r="D24" s="12"/>
      <c r="E24" s="22" t="s">
        <v>421</v>
      </c>
      <c r="F24" s="23"/>
      <c r="G24" s="15" t="s">
        <v>410</v>
      </c>
      <c r="H24" s="10"/>
    </row>
    <row r="25" spans="2:16" x14ac:dyDescent="0.25">
      <c r="B25" s="39"/>
      <c r="C25" s="9" t="s">
        <v>192</v>
      </c>
      <c r="D25" s="8" t="s">
        <v>195</v>
      </c>
      <c r="E25" s="24" t="s">
        <v>192</v>
      </c>
      <c r="F25" s="25" t="s">
        <v>195</v>
      </c>
      <c r="G25" s="16" t="s">
        <v>192</v>
      </c>
      <c r="H25" s="3" t="s">
        <v>193</v>
      </c>
    </row>
    <row r="26" spans="2:16" x14ac:dyDescent="0.25">
      <c r="B26" s="39" t="s">
        <v>65</v>
      </c>
      <c r="C26" s="1"/>
      <c r="D26" s="13"/>
      <c r="E26" s="26"/>
      <c r="F26" s="28"/>
      <c r="G26" s="10"/>
      <c r="H26" s="6">
        <f>SUM(D26+F26)</f>
        <v>0</v>
      </c>
    </row>
    <row r="27" spans="2:16" x14ac:dyDescent="0.25">
      <c r="B27" s="1" t="s">
        <v>66</v>
      </c>
      <c r="C27" s="1">
        <v>7</v>
      </c>
      <c r="D27" s="13">
        <v>792800</v>
      </c>
      <c r="E27" s="26">
        <v>265</v>
      </c>
      <c r="F27" s="28">
        <v>30001600</v>
      </c>
      <c r="G27" s="10">
        <f>SUM(C27+E27)</f>
        <v>272</v>
      </c>
      <c r="H27" s="6">
        <f t="shared" ref="H27:H28" si="4">SUM(D27+F27)</f>
        <v>30794400</v>
      </c>
    </row>
    <row r="28" spans="2:16" x14ac:dyDescent="0.25">
      <c r="B28" s="1" t="s">
        <v>67</v>
      </c>
      <c r="C28" s="1">
        <v>125</v>
      </c>
      <c r="D28" s="13">
        <v>26287500</v>
      </c>
      <c r="E28" s="26">
        <v>381</v>
      </c>
      <c r="F28" s="28">
        <v>81953100</v>
      </c>
      <c r="G28" s="10">
        <f>SUM(C28+E28)</f>
        <v>506</v>
      </c>
      <c r="H28" s="6">
        <f t="shared" si="4"/>
        <v>108240600</v>
      </c>
    </row>
    <row r="29" spans="2:16" x14ac:dyDescent="0.25">
      <c r="B29" s="1"/>
      <c r="C29" s="1"/>
      <c r="D29" s="13"/>
      <c r="E29" s="26"/>
      <c r="F29" s="28"/>
      <c r="G29" s="10"/>
      <c r="H29" s="1"/>
    </row>
    <row r="30" spans="2:16" ht="15.75" thickBot="1" x14ac:dyDescent="0.3">
      <c r="B30" s="1"/>
      <c r="C30" s="1">
        <f>SUM(C27:C28)</f>
        <v>132</v>
      </c>
      <c r="D30" s="14">
        <f>SUM(D26:D28)</f>
        <v>27080300</v>
      </c>
      <c r="E30" s="27">
        <f>SUM(E26:E28)</f>
        <v>646</v>
      </c>
      <c r="F30" s="29">
        <f>SUM(F26:F28)</f>
        <v>111954700</v>
      </c>
      <c r="G30" s="18">
        <f>SUM(G26:G28)</f>
        <v>778</v>
      </c>
      <c r="H30" s="6">
        <f>SUM(H26:H29)</f>
        <v>139035000</v>
      </c>
    </row>
    <row r="33" spans="2:8" ht="15.75" thickBot="1" x14ac:dyDescent="0.3">
      <c r="B33" s="36" t="s">
        <v>291</v>
      </c>
    </row>
    <row r="34" spans="2:8" x14ac:dyDescent="0.25">
      <c r="B34" s="38"/>
      <c r="C34" s="12" t="s">
        <v>194</v>
      </c>
      <c r="D34" s="12"/>
      <c r="E34" s="22" t="s">
        <v>420</v>
      </c>
      <c r="F34" s="23"/>
      <c r="G34" s="15" t="s">
        <v>410</v>
      </c>
      <c r="H34" s="10"/>
    </row>
    <row r="35" spans="2:8" x14ac:dyDescent="0.25">
      <c r="B35" s="39"/>
      <c r="C35" s="9" t="s">
        <v>192</v>
      </c>
      <c r="D35" s="8" t="s">
        <v>195</v>
      </c>
      <c r="E35" s="24" t="s">
        <v>192</v>
      </c>
      <c r="F35" s="25" t="s">
        <v>195</v>
      </c>
      <c r="G35" s="16" t="s">
        <v>192</v>
      </c>
      <c r="H35" s="3" t="s">
        <v>193</v>
      </c>
    </row>
    <row r="36" spans="2:8" x14ac:dyDescent="0.25">
      <c r="B36" s="39" t="s">
        <v>65</v>
      </c>
      <c r="C36" s="1"/>
      <c r="D36" s="13"/>
      <c r="E36" s="26"/>
      <c r="F36" s="30"/>
      <c r="G36" s="10"/>
      <c r="H36" s="6"/>
    </row>
    <row r="37" spans="2:8" x14ac:dyDescent="0.25">
      <c r="B37" s="1" t="s">
        <v>66</v>
      </c>
      <c r="C37" s="1">
        <v>178</v>
      </c>
      <c r="D37" s="13">
        <v>20153600</v>
      </c>
      <c r="E37" s="26">
        <v>144</v>
      </c>
      <c r="F37" s="30">
        <v>16273600</v>
      </c>
      <c r="G37" s="10">
        <f>SUM(C37+E37)</f>
        <v>322</v>
      </c>
      <c r="H37" s="6">
        <f>SUM(D37+F37)</f>
        <v>36427200</v>
      </c>
    </row>
    <row r="38" spans="2:8" x14ac:dyDescent="0.25">
      <c r="B38" s="1" t="s">
        <v>67</v>
      </c>
      <c r="C38" s="1">
        <v>214</v>
      </c>
      <c r="D38" s="13">
        <v>45731400</v>
      </c>
      <c r="E38" s="26">
        <v>347</v>
      </c>
      <c r="F38" s="30">
        <v>74639700</v>
      </c>
      <c r="G38" s="10">
        <f>SUM(C38+E38)</f>
        <v>561</v>
      </c>
      <c r="H38" s="6">
        <f>SUM(D38+F38)</f>
        <v>120371100</v>
      </c>
    </row>
    <row r="39" spans="2:8" x14ac:dyDescent="0.25">
      <c r="B39" s="1"/>
      <c r="C39" s="1"/>
      <c r="D39" s="13"/>
      <c r="E39" s="26"/>
      <c r="F39" s="30"/>
      <c r="G39" s="10"/>
      <c r="H39" s="1"/>
    </row>
    <row r="40" spans="2:8" ht="15.75" thickBot="1" x14ac:dyDescent="0.3">
      <c r="B40" s="1"/>
      <c r="C40" s="1">
        <f>SUM(C37:C38)</f>
        <v>392</v>
      </c>
      <c r="D40" s="14">
        <f>SUM(D36:D38)</f>
        <v>65885000</v>
      </c>
      <c r="E40" s="27">
        <f>SUM(E36:E38)</f>
        <v>491</v>
      </c>
      <c r="F40" s="31">
        <f>SUM(F36:F38)</f>
        <v>90913300</v>
      </c>
      <c r="G40" s="18">
        <f>SUM(G36:G38)</f>
        <v>883</v>
      </c>
      <c r="H40" s="6">
        <f>SUM(H36:H39)</f>
        <v>156798300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E8A82-B804-4F67-A28A-1CEB3A21B332}">
  <dimension ref="B2:H28"/>
  <sheetViews>
    <sheetView topLeftCell="C13" workbookViewId="0">
      <selection activeCell="J19" sqref="J19"/>
    </sheetView>
  </sheetViews>
  <sheetFormatPr defaultRowHeight="15" x14ac:dyDescent="0.25"/>
  <cols>
    <col min="3" max="3" width="14.7109375" customWidth="1"/>
    <col min="4" max="4" width="19.42578125" customWidth="1"/>
    <col min="5" max="5" width="17.42578125" customWidth="1"/>
    <col min="6" max="6" width="21.5703125" customWidth="1"/>
    <col min="7" max="7" width="12.85546875" customWidth="1"/>
    <col min="8" max="8" width="17.28515625" customWidth="1"/>
  </cols>
  <sheetData>
    <row r="2" spans="2:8" x14ac:dyDescent="0.25">
      <c r="B2" s="36" t="s">
        <v>437</v>
      </c>
    </row>
    <row r="4" spans="2:8" x14ac:dyDescent="0.25">
      <c r="B4" s="44" t="s">
        <v>423</v>
      </c>
      <c r="C4" s="45"/>
    </row>
    <row r="5" spans="2:8" x14ac:dyDescent="0.25">
      <c r="B5" s="38" t="s">
        <v>424</v>
      </c>
      <c r="C5" s="15" t="s">
        <v>432</v>
      </c>
      <c r="D5" s="10"/>
      <c r="E5" s="37" t="s">
        <v>433</v>
      </c>
      <c r="F5" s="10"/>
      <c r="G5" s="37" t="s">
        <v>434</v>
      </c>
      <c r="H5" s="10"/>
    </row>
    <row r="6" spans="2:8" x14ac:dyDescent="0.25">
      <c r="B6" s="39"/>
      <c r="C6" s="40" t="s">
        <v>192</v>
      </c>
      <c r="D6" s="39" t="s">
        <v>195</v>
      </c>
      <c r="E6" s="39" t="s">
        <v>192</v>
      </c>
      <c r="F6" s="39" t="s">
        <v>195</v>
      </c>
      <c r="G6" s="39" t="s">
        <v>192</v>
      </c>
      <c r="H6" s="39" t="s">
        <v>193</v>
      </c>
    </row>
    <row r="7" spans="2:8" x14ac:dyDescent="0.25">
      <c r="B7" s="39" t="s">
        <v>65</v>
      </c>
      <c r="C7" s="1">
        <f>SUM('PENJ-ALL-SALES'!C7)</f>
        <v>3</v>
      </c>
      <c r="D7" s="6">
        <f>SUM('PENJ-ALL-SALES'!D7)</f>
        <v>347400</v>
      </c>
      <c r="E7" s="20">
        <f>SUM('PENJ-ALL-SALES'!E7)</f>
        <v>0</v>
      </c>
      <c r="F7" s="42">
        <f>SUM('PENJ-ALL-SALES'!F7)</f>
        <v>0</v>
      </c>
      <c r="G7" s="20">
        <f t="shared" ref="G7:H9" si="0">SUM(C7+E7)</f>
        <v>3</v>
      </c>
      <c r="H7" s="42">
        <f t="shared" si="0"/>
        <v>347400</v>
      </c>
    </row>
    <row r="8" spans="2:8" x14ac:dyDescent="0.25">
      <c r="B8" s="1" t="s">
        <v>66</v>
      </c>
      <c r="C8" s="1">
        <f>SUM('PENJ-ALL-SALES'!C8)</f>
        <v>327</v>
      </c>
      <c r="D8" s="6">
        <f>SUM('PENJ-ALL-SALES'!D8)</f>
        <v>36997600</v>
      </c>
      <c r="E8" s="20">
        <f>SUM('PENJ-ALL-SALES'!E8)</f>
        <v>561</v>
      </c>
      <c r="F8" s="42">
        <f>SUM('PENJ-ALL-SALES'!F8)</f>
        <v>63468800</v>
      </c>
      <c r="G8" s="20">
        <f t="shared" si="0"/>
        <v>888</v>
      </c>
      <c r="H8" s="6">
        <f t="shared" si="0"/>
        <v>100466400</v>
      </c>
    </row>
    <row r="9" spans="2:8" x14ac:dyDescent="0.25">
      <c r="B9" s="1" t="s">
        <v>67</v>
      </c>
      <c r="C9" s="1">
        <f>SUM('PENJ-ALL-SALES'!C9)</f>
        <v>693</v>
      </c>
      <c r="D9" s="6">
        <f>SUM('PENJ-ALL-SALES'!D9)</f>
        <v>147564300</v>
      </c>
      <c r="E9" s="20">
        <f>SUM('PENJ-ALL-SALES'!E9)</f>
        <v>1121</v>
      </c>
      <c r="F9" s="42">
        <f>SUM('PENJ-ALL-SALES'!F9)</f>
        <v>241127100</v>
      </c>
      <c r="G9" s="20">
        <f t="shared" si="0"/>
        <v>1814</v>
      </c>
      <c r="H9" s="6">
        <f t="shared" si="0"/>
        <v>388691400</v>
      </c>
    </row>
    <row r="10" spans="2:8" x14ac:dyDescent="0.25">
      <c r="B10" s="1"/>
      <c r="C10" s="1"/>
      <c r="D10" s="6"/>
      <c r="E10" s="1"/>
      <c r="F10" s="1"/>
      <c r="G10" s="1"/>
      <c r="H10" s="1"/>
    </row>
    <row r="11" spans="2:8" x14ac:dyDescent="0.25">
      <c r="B11" s="1"/>
      <c r="C11" s="1">
        <v>1023</v>
      </c>
      <c r="D11" s="6">
        <v>184909300</v>
      </c>
      <c r="E11" s="20">
        <f>SUM(E7:E9)</f>
        <v>1682</v>
      </c>
      <c r="F11" s="42">
        <f>SUM(F7:F9)</f>
        <v>304595900</v>
      </c>
      <c r="G11" s="20">
        <f>SUM(G7:G9)</f>
        <v>2705</v>
      </c>
      <c r="H11" s="42">
        <f>SUM(H7:H9)</f>
        <v>489505200</v>
      </c>
    </row>
    <row r="14" spans="2:8" x14ac:dyDescent="0.25">
      <c r="B14" s="44" t="s">
        <v>435</v>
      </c>
      <c r="C14" s="45"/>
    </row>
    <row r="15" spans="2:8" x14ac:dyDescent="0.25">
      <c r="B15" s="1" t="s">
        <v>424</v>
      </c>
      <c r="C15" s="1" t="s">
        <v>425</v>
      </c>
      <c r="D15" s="1" t="s">
        <v>430</v>
      </c>
      <c r="E15" s="1" t="s">
        <v>428</v>
      </c>
      <c r="F15" s="1" t="s">
        <v>427</v>
      </c>
      <c r="G15" s="37" t="s">
        <v>426</v>
      </c>
      <c r="H15" s="10"/>
    </row>
    <row r="16" spans="2:8" x14ac:dyDescent="0.25">
      <c r="B16" s="1" t="s">
        <v>65</v>
      </c>
      <c r="C16" s="6">
        <v>110500</v>
      </c>
      <c r="D16" s="37">
        <f>SUM(C7)</f>
        <v>3</v>
      </c>
      <c r="E16" s="6">
        <f>SUM(C16*D16)</f>
        <v>331500</v>
      </c>
      <c r="F16" s="6">
        <f>SUM(D7)</f>
        <v>347400</v>
      </c>
      <c r="G16" s="37"/>
      <c r="H16" s="17">
        <f>SUM(F16-E16)</f>
        <v>15900</v>
      </c>
    </row>
    <row r="17" spans="2:8" x14ac:dyDescent="0.25">
      <c r="B17" s="1" t="s">
        <v>66</v>
      </c>
      <c r="C17" s="6">
        <v>107500</v>
      </c>
      <c r="D17" s="37">
        <f>SUM(C8)</f>
        <v>327</v>
      </c>
      <c r="E17" s="6">
        <f>SUM(C17*D17)</f>
        <v>35152500</v>
      </c>
      <c r="F17" s="6">
        <f>SUM(D8)</f>
        <v>36997600</v>
      </c>
      <c r="G17" s="37"/>
      <c r="H17" s="17">
        <f>SUM(F17-E17)</f>
        <v>1845100</v>
      </c>
    </row>
    <row r="18" spans="2:8" x14ac:dyDescent="0.25">
      <c r="B18" s="1" t="s">
        <v>67</v>
      </c>
      <c r="C18" s="6">
        <v>201900</v>
      </c>
      <c r="D18" s="37">
        <f>SUM(C9)</f>
        <v>693</v>
      </c>
      <c r="E18" s="6">
        <f>SUM(C18*D18)</f>
        <v>139916700</v>
      </c>
      <c r="F18" s="6">
        <f>SUM(D9)</f>
        <v>147564300</v>
      </c>
      <c r="G18" s="37"/>
      <c r="H18" s="17">
        <f>SUM(F18-E18)</f>
        <v>7647600</v>
      </c>
    </row>
    <row r="20" spans="2:8" x14ac:dyDescent="0.25">
      <c r="H20" s="11">
        <f>SUM(H16:H18)</f>
        <v>9508600</v>
      </c>
    </row>
    <row r="22" spans="2:8" x14ac:dyDescent="0.25">
      <c r="B22" s="44" t="s">
        <v>436</v>
      </c>
      <c r="C22" s="45"/>
    </row>
    <row r="23" spans="2:8" x14ac:dyDescent="0.25">
      <c r="B23" s="1" t="s">
        <v>424</v>
      </c>
      <c r="C23" s="1" t="s">
        <v>425</v>
      </c>
      <c r="D23" s="1" t="s">
        <v>431</v>
      </c>
      <c r="E23" s="1" t="s">
        <v>428</v>
      </c>
      <c r="F23" s="1" t="s">
        <v>427</v>
      </c>
      <c r="G23" s="37" t="s">
        <v>429</v>
      </c>
      <c r="H23" s="10"/>
    </row>
    <row r="24" spans="2:8" x14ac:dyDescent="0.25">
      <c r="B24" s="1" t="s">
        <v>65</v>
      </c>
      <c r="C24" s="6">
        <v>110500</v>
      </c>
      <c r="D24" s="43">
        <f>SUM(E7)</f>
        <v>0</v>
      </c>
      <c r="E24" s="6">
        <f>SUM(C24*D24)</f>
        <v>0</v>
      </c>
      <c r="F24" s="6">
        <f>SUM(F7)</f>
        <v>0</v>
      </c>
      <c r="G24" s="37"/>
      <c r="H24" s="17">
        <f>SUM(F24-E24)</f>
        <v>0</v>
      </c>
    </row>
    <row r="25" spans="2:8" x14ac:dyDescent="0.25">
      <c r="B25" s="1" t="s">
        <v>66</v>
      </c>
      <c r="C25" s="6">
        <v>107500</v>
      </c>
      <c r="D25" s="43">
        <f>SUM(E8)</f>
        <v>561</v>
      </c>
      <c r="E25" s="6">
        <f>SUM(C25*D25)</f>
        <v>60307500</v>
      </c>
      <c r="F25" s="6">
        <f>SUM(F8)</f>
        <v>63468800</v>
      </c>
      <c r="G25" s="37"/>
      <c r="H25" s="17">
        <f>SUM(F25-E25)</f>
        <v>3161300</v>
      </c>
    </row>
    <row r="26" spans="2:8" x14ac:dyDescent="0.25">
      <c r="B26" s="1" t="s">
        <v>67</v>
      </c>
      <c r="C26" s="6">
        <v>201900</v>
      </c>
      <c r="D26" s="43">
        <f>SUM(E9)</f>
        <v>1121</v>
      </c>
      <c r="E26" s="6">
        <f>SUM(C26*D26)</f>
        <v>226329900</v>
      </c>
      <c r="F26" s="6">
        <f>SUM(F9)</f>
        <v>241127100</v>
      </c>
      <c r="G26" s="37"/>
      <c r="H26" s="17">
        <f>SUM(F26-E26)</f>
        <v>14797200</v>
      </c>
    </row>
    <row r="28" spans="2:8" x14ac:dyDescent="0.25">
      <c r="H28" s="11">
        <f>SUM(H24:H26)</f>
        <v>17958500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FCCD6-3362-4996-BA35-F6C2C637AEE3}">
  <dimension ref="B1:M384"/>
  <sheetViews>
    <sheetView topLeftCell="D362" workbookViewId="0">
      <selection activeCell="L376" sqref="L376"/>
    </sheetView>
  </sheetViews>
  <sheetFormatPr defaultRowHeight="15" x14ac:dyDescent="0.25"/>
  <cols>
    <col min="3" max="3" width="14.42578125" customWidth="1"/>
    <col min="4" max="4" width="17.5703125" customWidth="1"/>
    <col min="5" max="5" width="19" customWidth="1"/>
    <col min="6" max="6" width="17.5703125" customWidth="1"/>
    <col min="7" max="7" width="18.28515625" customWidth="1"/>
    <col min="8" max="8" width="15.42578125" customWidth="1"/>
    <col min="9" max="9" width="16.7109375" customWidth="1"/>
    <col min="10" max="10" width="13.85546875" customWidth="1"/>
    <col min="11" max="11" width="15.42578125" bestFit="1" customWidth="1"/>
  </cols>
  <sheetData>
    <row r="1" spans="2:13" x14ac:dyDescent="0.25">
      <c r="B1" t="s">
        <v>411</v>
      </c>
    </row>
    <row r="2" spans="2:13" x14ac:dyDescent="0.25">
      <c r="H2" s="4"/>
    </row>
    <row r="3" spans="2:13" x14ac:dyDescent="0.25">
      <c r="B3" s="7" t="s">
        <v>416</v>
      </c>
      <c r="C3" s="7" t="s">
        <v>63</v>
      </c>
      <c r="D3" s="7" t="s">
        <v>415</v>
      </c>
      <c r="E3" s="7" t="s">
        <v>414</v>
      </c>
      <c r="F3" s="7" t="s">
        <v>419</v>
      </c>
      <c r="G3" s="7" t="s">
        <v>418</v>
      </c>
      <c r="H3" s="7" t="s">
        <v>417</v>
      </c>
      <c r="I3" s="19" t="s">
        <v>64</v>
      </c>
      <c r="L3" s="46"/>
      <c r="M3" s="46"/>
    </row>
    <row r="4" spans="2:13" x14ac:dyDescent="0.25">
      <c r="B4" s="1" t="s">
        <v>0</v>
      </c>
      <c r="C4" s="2">
        <v>46143.313784722224</v>
      </c>
      <c r="D4" s="1" t="s">
        <v>68</v>
      </c>
      <c r="E4" s="1" t="s">
        <v>2</v>
      </c>
      <c r="F4" s="1">
        <v>1</v>
      </c>
      <c r="G4" s="1">
        <v>112800</v>
      </c>
      <c r="H4" s="1">
        <v>112800</v>
      </c>
      <c r="I4" s="3" t="s">
        <v>69</v>
      </c>
    </row>
    <row r="5" spans="2:13" x14ac:dyDescent="0.25">
      <c r="B5" s="1" t="s">
        <v>0</v>
      </c>
      <c r="C5" s="2">
        <v>46143.313784722224</v>
      </c>
      <c r="D5" s="1" t="s">
        <v>68</v>
      </c>
      <c r="E5" s="1" t="s">
        <v>4</v>
      </c>
      <c r="F5" s="1">
        <v>1</v>
      </c>
      <c r="G5" s="1">
        <v>215100</v>
      </c>
      <c r="H5" s="1">
        <v>215100</v>
      </c>
      <c r="I5" s="3" t="s">
        <v>69</v>
      </c>
    </row>
    <row r="6" spans="2:13" x14ac:dyDescent="0.25">
      <c r="B6" s="1" t="s">
        <v>0</v>
      </c>
      <c r="C6" s="2">
        <v>46143.316030092596</v>
      </c>
      <c r="D6" s="1" t="s">
        <v>70</v>
      </c>
      <c r="E6" s="1" t="s">
        <v>4</v>
      </c>
      <c r="F6" s="1">
        <v>2</v>
      </c>
      <c r="G6" s="1">
        <v>215100</v>
      </c>
      <c r="H6" s="1">
        <v>430200</v>
      </c>
      <c r="I6" s="3" t="s">
        <v>69</v>
      </c>
    </row>
    <row r="7" spans="2:13" x14ac:dyDescent="0.25">
      <c r="B7" s="1" t="s">
        <v>0</v>
      </c>
      <c r="C7" s="2">
        <v>46143.316817129627</v>
      </c>
      <c r="D7" s="1" t="s">
        <v>71</v>
      </c>
      <c r="E7" s="1" t="s">
        <v>2</v>
      </c>
      <c r="F7" s="1">
        <v>1</v>
      </c>
      <c r="G7" s="1">
        <v>112800</v>
      </c>
      <c r="H7" s="1">
        <v>112800</v>
      </c>
      <c r="I7" s="3" t="s">
        <v>69</v>
      </c>
    </row>
    <row r="8" spans="2:13" x14ac:dyDescent="0.25">
      <c r="B8" s="1" t="s">
        <v>0</v>
      </c>
      <c r="C8" s="2">
        <v>46143.316817129627</v>
      </c>
      <c r="D8" s="1" t="s">
        <v>71</v>
      </c>
      <c r="E8" s="1" t="s">
        <v>4</v>
      </c>
      <c r="F8" s="1">
        <v>1</v>
      </c>
      <c r="G8" s="1">
        <v>215100</v>
      </c>
      <c r="H8" s="1">
        <v>215100</v>
      </c>
      <c r="I8" s="3" t="s">
        <v>69</v>
      </c>
    </row>
    <row r="9" spans="2:13" x14ac:dyDescent="0.25">
      <c r="B9" s="1" t="s">
        <v>0</v>
      </c>
      <c r="C9" s="2">
        <v>46143.31795138889</v>
      </c>
      <c r="D9" s="1" t="s">
        <v>72</v>
      </c>
      <c r="E9" s="1" t="s">
        <v>2</v>
      </c>
      <c r="F9" s="1">
        <v>1</v>
      </c>
      <c r="G9" s="1">
        <v>112800</v>
      </c>
      <c r="H9" s="1">
        <v>112800</v>
      </c>
      <c r="I9" s="3" t="s">
        <v>69</v>
      </c>
    </row>
    <row r="10" spans="2:13" x14ac:dyDescent="0.25">
      <c r="B10" s="1" t="s">
        <v>0</v>
      </c>
      <c r="C10" s="2">
        <v>46143.31795138889</v>
      </c>
      <c r="D10" s="1" t="s">
        <v>72</v>
      </c>
      <c r="E10" s="1" t="s">
        <v>4</v>
      </c>
      <c r="F10" s="1">
        <v>2</v>
      </c>
      <c r="G10" s="1">
        <v>215100</v>
      </c>
      <c r="H10" s="1">
        <v>430200</v>
      </c>
      <c r="I10" s="3" t="s">
        <v>69</v>
      </c>
    </row>
    <row r="11" spans="2:13" x14ac:dyDescent="0.25">
      <c r="B11" s="1" t="s">
        <v>0</v>
      </c>
      <c r="C11" s="2">
        <v>46143.318692129629</v>
      </c>
      <c r="D11" s="1" t="s">
        <v>30</v>
      </c>
      <c r="E11" s="1" t="s">
        <v>4</v>
      </c>
      <c r="F11" s="1">
        <v>1</v>
      </c>
      <c r="G11" s="1">
        <v>215100</v>
      </c>
      <c r="H11" s="1">
        <v>215100</v>
      </c>
      <c r="I11" s="3" t="s">
        <v>69</v>
      </c>
    </row>
    <row r="12" spans="2:13" x14ac:dyDescent="0.25">
      <c r="B12" s="1" t="s">
        <v>0</v>
      </c>
      <c r="C12" s="2">
        <v>46143.319340277776</v>
      </c>
      <c r="D12" s="1" t="s">
        <v>73</v>
      </c>
      <c r="E12" s="1" t="s">
        <v>2</v>
      </c>
      <c r="F12" s="1">
        <v>1</v>
      </c>
      <c r="G12" s="1">
        <v>112800</v>
      </c>
      <c r="H12" s="1">
        <v>112800</v>
      </c>
      <c r="I12" s="3" t="s">
        <v>69</v>
      </c>
    </row>
    <row r="13" spans="2:13" x14ac:dyDescent="0.25">
      <c r="B13" s="1" t="s">
        <v>0</v>
      </c>
      <c r="C13" s="2">
        <v>46143.319340277776</v>
      </c>
      <c r="D13" s="1" t="s">
        <v>73</v>
      </c>
      <c r="E13" s="1" t="s">
        <v>4</v>
      </c>
      <c r="F13" s="1">
        <v>1</v>
      </c>
      <c r="G13" s="1">
        <v>215100</v>
      </c>
      <c r="H13" s="1">
        <v>215100</v>
      </c>
      <c r="I13" s="3" t="s">
        <v>69</v>
      </c>
    </row>
    <row r="14" spans="2:13" x14ac:dyDescent="0.25">
      <c r="B14" s="1" t="s">
        <v>0</v>
      </c>
      <c r="C14" s="2">
        <v>46143.320208333331</v>
      </c>
      <c r="D14" s="1" t="s">
        <v>1</v>
      </c>
      <c r="E14" s="1" t="s">
        <v>2</v>
      </c>
      <c r="F14" s="1">
        <v>3</v>
      </c>
      <c r="G14" s="1">
        <v>112800</v>
      </c>
      <c r="H14" s="1">
        <v>338400</v>
      </c>
      <c r="I14" s="3" t="s">
        <v>3</v>
      </c>
    </row>
    <row r="15" spans="2:13" x14ac:dyDescent="0.25">
      <c r="B15" s="1" t="s">
        <v>0</v>
      </c>
      <c r="C15" s="2">
        <v>46143.320208333331</v>
      </c>
      <c r="D15" s="1" t="s">
        <v>1</v>
      </c>
      <c r="E15" s="1" t="s">
        <v>4</v>
      </c>
      <c r="F15" s="1">
        <v>2</v>
      </c>
      <c r="G15" s="1">
        <v>215100</v>
      </c>
      <c r="H15" s="1">
        <v>430200</v>
      </c>
      <c r="I15" s="3" t="s">
        <v>3</v>
      </c>
    </row>
    <row r="16" spans="2:13" x14ac:dyDescent="0.25">
      <c r="B16" s="1" t="s">
        <v>0</v>
      </c>
      <c r="C16" s="2">
        <v>46143.320937500001</v>
      </c>
      <c r="D16" s="1" t="s">
        <v>52</v>
      </c>
      <c r="E16" s="1" t="s">
        <v>2</v>
      </c>
      <c r="F16" s="1">
        <v>1</v>
      </c>
      <c r="G16" s="1">
        <v>112800</v>
      </c>
      <c r="H16" s="1">
        <v>112800</v>
      </c>
      <c r="I16" s="3" t="s">
        <v>69</v>
      </c>
    </row>
    <row r="17" spans="2:9" x14ac:dyDescent="0.25">
      <c r="B17" s="1" t="s">
        <v>0</v>
      </c>
      <c r="C17" s="2">
        <v>46143.320937500001</v>
      </c>
      <c r="D17" s="1" t="s">
        <v>52</v>
      </c>
      <c r="E17" s="1" t="s">
        <v>4</v>
      </c>
      <c r="F17" s="1">
        <v>3</v>
      </c>
      <c r="G17" s="1">
        <v>215100</v>
      </c>
      <c r="H17" s="1">
        <v>645300</v>
      </c>
      <c r="I17" s="3" t="s">
        <v>69</v>
      </c>
    </row>
    <row r="18" spans="2:9" x14ac:dyDescent="0.25">
      <c r="B18" s="1" t="s">
        <v>0</v>
      </c>
      <c r="C18" s="2">
        <v>46143.321469907409</v>
      </c>
      <c r="D18" s="1" t="s">
        <v>74</v>
      </c>
      <c r="E18" s="1" t="s">
        <v>4</v>
      </c>
      <c r="F18" s="1">
        <v>1</v>
      </c>
      <c r="G18" s="1">
        <v>215100</v>
      </c>
      <c r="H18" s="1">
        <v>215100</v>
      </c>
      <c r="I18" s="3" t="s">
        <v>69</v>
      </c>
    </row>
    <row r="19" spans="2:9" x14ac:dyDescent="0.25">
      <c r="B19" s="1" t="s">
        <v>0</v>
      </c>
      <c r="C19" s="2">
        <v>46143.322326388887</v>
      </c>
      <c r="D19" s="1" t="s">
        <v>75</v>
      </c>
      <c r="E19" s="1" t="s">
        <v>2</v>
      </c>
      <c r="F19" s="1">
        <v>1</v>
      </c>
      <c r="G19" s="1">
        <v>112800</v>
      </c>
      <c r="H19" s="1">
        <v>112800</v>
      </c>
      <c r="I19" s="3" t="s">
        <v>69</v>
      </c>
    </row>
    <row r="20" spans="2:9" x14ac:dyDescent="0.25">
      <c r="B20" s="1" t="s">
        <v>0</v>
      </c>
      <c r="C20" s="2">
        <v>46143.322326388887</v>
      </c>
      <c r="D20" s="1" t="s">
        <v>75</v>
      </c>
      <c r="E20" s="1" t="s">
        <v>4</v>
      </c>
      <c r="F20" s="1">
        <v>1</v>
      </c>
      <c r="G20" s="1">
        <v>215100</v>
      </c>
      <c r="H20" s="1">
        <v>215100</v>
      </c>
      <c r="I20" s="3" t="s">
        <v>69</v>
      </c>
    </row>
    <row r="21" spans="2:9" x14ac:dyDescent="0.25">
      <c r="B21" s="1" t="s">
        <v>0</v>
      </c>
      <c r="C21" s="2">
        <v>46143.323912037034</v>
      </c>
      <c r="D21" s="1" t="s">
        <v>76</v>
      </c>
      <c r="E21" s="1" t="s">
        <v>2</v>
      </c>
      <c r="F21" s="1">
        <v>1</v>
      </c>
      <c r="G21" s="1">
        <v>112800</v>
      </c>
      <c r="H21" s="1">
        <v>112800</v>
      </c>
      <c r="I21" s="3" t="s">
        <v>69</v>
      </c>
    </row>
    <row r="22" spans="2:9" x14ac:dyDescent="0.25">
      <c r="B22" s="1" t="s">
        <v>0</v>
      </c>
      <c r="C22" s="2">
        <v>46143.323912037034</v>
      </c>
      <c r="D22" s="1" t="s">
        <v>76</v>
      </c>
      <c r="E22" s="1" t="s">
        <v>4</v>
      </c>
      <c r="F22" s="1">
        <v>1</v>
      </c>
      <c r="G22" s="1">
        <v>215100</v>
      </c>
      <c r="H22" s="1">
        <v>215100</v>
      </c>
      <c r="I22" s="3" t="s">
        <v>69</v>
      </c>
    </row>
    <row r="23" spans="2:9" x14ac:dyDescent="0.25">
      <c r="B23" s="1" t="s">
        <v>0</v>
      </c>
      <c r="C23" s="2">
        <v>46143.324803240743</v>
      </c>
      <c r="D23" s="1" t="s">
        <v>77</v>
      </c>
      <c r="E23" s="1" t="s">
        <v>2</v>
      </c>
      <c r="F23" s="1">
        <v>1</v>
      </c>
      <c r="G23" s="1">
        <v>112800</v>
      </c>
      <c r="H23" s="1">
        <v>112800</v>
      </c>
      <c r="I23" s="3" t="s">
        <v>69</v>
      </c>
    </row>
    <row r="24" spans="2:9" x14ac:dyDescent="0.25">
      <c r="B24" s="1" t="s">
        <v>0</v>
      </c>
      <c r="C24" s="2">
        <v>46143.324803240743</v>
      </c>
      <c r="D24" s="1" t="s">
        <v>77</v>
      </c>
      <c r="E24" s="1" t="s">
        <v>4</v>
      </c>
      <c r="F24" s="1">
        <v>1</v>
      </c>
      <c r="G24" s="1">
        <v>215100</v>
      </c>
      <c r="H24" s="1">
        <v>215100</v>
      </c>
      <c r="I24" s="3" t="s">
        <v>69</v>
      </c>
    </row>
    <row r="25" spans="2:9" x14ac:dyDescent="0.25">
      <c r="B25" s="1" t="s">
        <v>0</v>
      </c>
      <c r="C25" s="2">
        <v>46143.326631944445</v>
      </c>
      <c r="D25" s="1" t="s">
        <v>5</v>
      </c>
      <c r="E25" s="1" t="s">
        <v>2</v>
      </c>
      <c r="F25" s="1">
        <v>5</v>
      </c>
      <c r="G25" s="1">
        <v>112800</v>
      </c>
      <c r="H25" s="1">
        <v>564000</v>
      </c>
      <c r="I25" s="3" t="s">
        <v>3</v>
      </c>
    </row>
    <row r="26" spans="2:9" x14ac:dyDescent="0.25">
      <c r="B26" s="1" t="s">
        <v>0</v>
      </c>
      <c r="C26" s="2">
        <v>46143.326631944445</v>
      </c>
      <c r="D26" s="1" t="s">
        <v>5</v>
      </c>
      <c r="E26" s="1" t="s">
        <v>4</v>
      </c>
      <c r="F26" s="1">
        <v>5</v>
      </c>
      <c r="G26" s="1">
        <v>215100</v>
      </c>
      <c r="H26" s="1">
        <v>1075500</v>
      </c>
      <c r="I26" s="3" t="s">
        <v>3</v>
      </c>
    </row>
    <row r="27" spans="2:9" x14ac:dyDescent="0.25">
      <c r="B27" s="1" t="s">
        <v>0</v>
      </c>
      <c r="C27" s="2">
        <v>46143.32775462963</v>
      </c>
      <c r="D27" s="1" t="s">
        <v>78</v>
      </c>
      <c r="E27" s="1" t="s">
        <v>4</v>
      </c>
      <c r="F27" s="1">
        <v>3</v>
      </c>
      <c r="G27" s="1">
        <v>215100</v>
      </c>
      <c r="H27" s="1">
        <v>645300</v>
      </c>
      <c r="I27" s="3" t="s">
        <v>69</v>
      </c>
    </row>
    <row r="28" spans="2:9" x14ac:dyDescent="0.25">
      <c r="B28" s="1" t="s">
        <v>0</v>
      </c>
      <c r="C28" s="2">
        <v>46143.329837962963</v>
      </c>
      <c r="D28" s="1" t="s">
        <v>6</v>
      </c>
      <c r="E28" s="1" t="s">
        <v>2</v>
      </c>
      <c r="F28" s="1">
        <v>1</v>
      </c>
      <c r="G28" s="1">
        <v>112800</v>
      </c>
      <c r="H28" s="1">
        <v>112800</v>
      </c>
      <c r="I28" s="3" t="s">
        <v>3</v>
      </c>
    </row>
    <row r="29" spans="2:9" x14ac:dyDescent="0.25">
      <c r="B29" s="1" t="s">
        <v>0</v>
      </c>
      <c r="C29" s="2">
        <v>46143.329837962963</v>
      </c>
      <c r="D29" s="1" t="s">
        <v>6</v>
      </c>
      <c r="E29" s="1" t="s">
        <v>4</v>
      </c>
      <c r="F29" s="1">
        <v>4</v>
      </c>
      <c r="G29" s="1">
        <v>215100</v>
      </c>
      <c r="H29" s="1">
        <v>860400</v>
      </c>
      <c r="I29" s="3" t="s">
        <v>3</v>
      </c>
    </row>
    <row r="30" spans="2:9" x14ac:dyDescent="0.25">
      <c r="B30" s="1" t="s">
        <v>0</v>
      </c>
      <c r="C30" s="2">
        <v>46143.44908564815</v>
      </c>
      <c r="D30" s="1" t="s">
        <v>79</v>
      </c>
      <c r="E30" s="1" t="s">
        <v>4</v>
      </c>
      <c r="F30" s="1">
        <v>2</v>
      </c>
      <c r="G30" s="1">
        <v>215100</v>
      </c>
      <c r="H30" s="1">
        <v>430200</v>
      </c>
      <c r="I30" s="3" t="s">
        <v>69</v>
      </c>
    </row>
    <row r="31" spans="2:9" x14ac:dyDescent="0.25">
      <c r="B31" s="1" t="s">
        <v>0</v>
      </c>
      <c r="C31" s="2">
        <v>46143.317141203705</v>
      </c>
      <c r="D31" s="1" t="s">
        <v>7</v>
      </c>
      <c r="E31" s="1" t="s">
        <v>8</v>
      </c>
      <c r="F31" s="1">
        <v>3</v>
      </c>
      <c r="G31" s="1">
        <v>115800</v>
      </c>
      <c r="H31" s="1">
        <v>347400</v>
      </c>
      <c r="I31" s="3" t="s">
        <v>3</v>
      </c>
    </row>
    <row r="32" spans="2:9" x14ac:dyDescent="0.25">
      <c r="B32" s="1" t="s">
        <v>0</v>
      </c>
      <c r="C32" s="2">
        <v>46143.317141203705</v>
      </c>
      <c r="D32" s="1" t="s">
        <v>7</v>
      </c>
      <c r="E32" s="1" t="s">
        <v>2</v>
      </c>
      <c r="F32" s="1">
        <v>5</v>
      </c>
      <c r="G32" s="1">
        <v>112800</v>
      </c>
      <c r="H32" s="1">
        <v>564000</v>
      </c>
      <c r="I32" s="3" t="s">
        <v>3</v>
      </c>
    </row>
    <row r="33" spans="2:9" x14ac:dyDescent="0.25">
      <c r="B33" s="1" t="s">
        <v>0</v>
      </c>
      <c r="C33" s="2">
        <v>46143.317141203705</v>
      </c>
      <c r="D33" s="1" t="s">
        <v>7</v>
      </c>
      <c r="E33" s="1" t="s">
        <v>4</v>
      </c>
      <c r="F33" s="1">
        <v>5</v>
      </c>
      <c r="G33" s="1">
        <v>215100</v>
      </c>
      <c r="H33" s="1">
        <v>1075500</v>
      </c>
      <c r="I33" s="3" t="s">
        <v>3</v>
      </c>
    </row>
    <row r="34" spans="2:9" x14ac:dyDescent="0.25">
      <c r="B34" s="1" t="s">
        <v>0</v>
      </c>
      <c r="C34" s="2">
        <v>46143.463819444441</v>
      </c>
      <c r="D34" s="1" t="s">
        <v>79</v>
      </c>
      <c r="E34" s="1" t="s">
        <v>4</v>
      </c>
      <c r="F34" s="1">
        <v>2</v>
      </c>
      <c r="G34" s="1">
        <v>215100</v>
      </c>
      <c r="H34" s="1">
        <v>430200</v>
      </c>
      <c r="I34" s="3" t="s">
        <v>69</v>
      </c>
    </row>
    <row r="35" spans="2:9" x14ac:dyDescent="0.25">
      <c r="B35" s="1" t="s">
        <v>0</v>
      </c>
      <c r="C35" s="2">
        <v>46143.44908564815</v>
      </c>
      <c r="D35" s="1" t="s">
        <v>79</v>
      </c>
      <c r="E35" s="1" t="s">
        <v>2</v>
      </c>
      <c r="F35" s="1">
        <v>2</v>
      </c>
      <c r="G35" s="1">
        <v>112800</v>
      </c>
      <c r="H35" s="1">
        <v>225600</v>
      </c>
      <c r="I35" s="3" t="s">
        <v>69</v>
      </c>
    </row>
    <row r="36" spans="2:9" x14ac:dyDescent="0.25">
      <c r="B36" s="1" t="s">
        <v>0</v>
      </c>
      <c r="C36" s="2">
        <v>46144.313078703701</v>
      </c>
      <c r="D36" s="1" t="s">
        <v>80</v>
      </c>
      <c r="E36" s="1" t="s">
        <v>2</v>
      </c>
      <c r="F36" s="1">
        <v>1</v>
      </c>
      <c r="G36" s="1">
        <v>112800</v>
      </c>
      <c r="H36" s="1">
        <v>112800</v>
      </c>
      <c r="I36" s="3" t="s">
        <v>69</v>
      </c>
    </row>
    <row r="37" spans="2:9" x14ac:dyDescent="0.25">
      <c r="B37" s="1" t="s">
        <v>0</v>
      </c>
      <c r="C37" s="2">
        <v>46144.314560185187</v>
      </c>
      <c r="D37" s="1" t="s">
        <v>81</v>
      </c>
      <c r="E37" s="1" t="s">
        <v>2</v>
      </c>
      <c r="F37" s="1">
        <v>2</v>
      </c>
      <c r="G37" s="1">
        <v>112800</v>
      </c>
      <c r="H37" s="1">
        <v>225600</v>
      </c>
      <c r="I37" s="3" t="s">
        <v>69</v>
      </c>
    </row>
    <row r="38" spans="2:9" x14ac:dyDescent="0.25">
      <c r="B38" s="1" t="s">
        <v>0</v>
      </c>
      <c r="C38" s="2">
        <v>46144.314560185187</v>
      </c>
      <c r="D38" s="1" t="s">
        <v>81</v>
      </c>
      <c r="E38" s="1" t="s">
        <v>4</v>
      </c>
      <c r="F38" s="1">
        <v>2</v>
      </c>
      <c r="G38" s="1">
        <v>215100</v>
      </c>
      <c r="H38" s="1">
        <v>430200</v>
      </c>
      <c r="I38" s="3" t="s">
        <v>69</v>
      </c>
    </row>
    <row r="39" spans="2:9" x14ac:dyDescent="0.25">
      <c r="B39" s="1" t="s">
        <v>0</v>
      </c>
      <c r="C39" s="2">
        <v>46144.315208333333</v>
      </c>
      <c r="D39" s="1" t="s">
        <v>82</v>
      </c>
      <c r="E39" s="1" t="s">
        <v>4</v>
      </c>
      <c r="F39" s="1">
        <v>1</v>
      </c>
      <c r="G39" s="1">
        <v>215100</v>
      </c>
      <c r="H39" s="1">
        <v>215100</v>
      </c>
      <c r="I39" s="3" t="s">
        <v>69</v>
      </c>
    </row>
    <row r="40" spans="2:9" x14ac:dyDescent="0.25">
      <c r="B40" s="1" t="s">
        <v>0</v>
      </c>
      <c r="C40" s="2">
        <v>46144.315949074073</v>
      </c>
      <c r="D40" s="1" t="s">
        <v>83</v>
      </c>
      <c r="E40" s="1" t="s">
        <v>2</v>
      </c>
      <c r="F40" s="1">
        <v>1</v>
      </c>
      <c r="G40" s="1">
        <v>112800</v>
      </c>
      <c r="H40" s="1">
        <v>112800</v>
      </c>
      <c r="I40" s="3" t="s">
        <v>69</v>
      </c>
    </row>
    <row r="41" spans="2:9" x14ac:dyDescent="0.25">
      <c r="B41" s="1" t="s">
        <v>0</v>
      </c>
      <c r="C41" s="2">
        <v>46144.315949074073</v>
      </c>
      <c r="D41" s="1" t="s">
        <v>83</v>
      </c>
      <c r="E41" s="1" t="s">
        <v>4</v>
      </c>
      <c r="F41" s="1">
        <v>1</v>
      </c>
      <c r="G41" s="1">
        <v>215100</v>
      </c>
      <c r="H41" s="1">
        <v>215100</v>
      </c>
      <c r="I41" s="3" t="s">
        <v>69</v>
      </c>
    </row>
    <row r="42" spans="2:9" x14ac:dyDescent="0.25">
      <c r="B42" s="1" t="s">
        <v>0</v>
      </c>
      <c r="C42" s="2">
        <v>46144.316701388889</v>
      </c>
      <c r="D42" s="1" t="s">
        <v>84</v>
      </c>
      <c r="E42" s="1" t="s">
        <v>2</v>
      </c>
      <c r="F42" s="1">
        <v>3</v>
      </c>
      <c r="G42" s="1">
        <v>112800</v>
      </c>
      <c r="H42" s="1">
        <v>338400</v>
      </c>
      <c r="I42" s="3" t="s">
        <v>69</v>
      </c>
    </row>
    <row r="43" spans="2:9" x14ac:dyDescent="0.25">
      <c r="B43" s="1" t="s">
        <v>0</v>
      </c>
      <c r="C43" s="2">
        <v>46144.318460648145</v>
      </c>
      <c r="D43" s="1" t="s">
        <v>9</v>
      </c>
      <c r="E43" s="1" t="s">
        <v>4</v>
      </c>
      <c r="F43" s="1">
        <v>1</v>
      </c>
      <c r="G43" s="1">
        <v>215100</v>
      </c>
      <c r="H43" s="1">
        <v>215100</v>
      </c>
      <c r="I43" s="3" t="s">
        <v>3</v>
      </c>
    </row>
    <row r="44" spans="2:9" x14ac:dyDescent="0.25">
      <c r="B44" s="1" t="s">
        <v>0</v>
      </c>
      <c r="C44" s="2">
        <v>46144.319374999999</v>
      </c>
      <c r="D44" s="1" t="s">
        <v>85</v>
      </c>
      <c r="E44" s="1" t="s">
        <v>2</v>
      </c>
      <c r="F44" s="1">
        <v>1</v>
      </c>
      <c r="G44" s="1">
        <v>112800</v>
      </c>
      <c r="H44" s="1">
        <v>112800</v>
      </c>
      <c r="I44" s="3" t="s">
        <v>69</v>
      </c>
    </row>
    <row r="45" spans="2:9" x14ac:dyDescent="0.25">
      <c r="B45" s="1" t="s">
        <v>0</v>
      </c>
      <c r="C45" s="2">
        <v>46144.319374999999</v>
      </c>
      <c r="D45" s="1" t="s">
        <v>85</v>
      </c>
      <c r="E45" s="1" t="s">
        <v>4</v>
      </c>
      <c r="F45" s="1">
        <v>1</v>
      </c>
      <c r="G45" s="1">
        <v>215100</v>
      </c>
      <c r="H45" s="1">
        <v>215100</v>
      </c>
      <c r="I45" s="3" t="s">
        <v>69</v>
      </c>
    </row>
    <row r="46" spans="2:9" x14ac:dyDescent="0.25">
      <c r="B46" s="1" t="s">
        <v>0</v>
      </c>
      <c r="C46" s="2">
        <v>46144.320081018515</v>
      </c>
      <c r="D46" s="1" t="s">
        <v>86</v>
      </c>
      <c r="E46" s="1" t="s">
        <v>4</v>
      </c>
      <c r="F46" s="1">
        <v>1</v>
      </c>
      <c r="G46" s="1">
        <v>215100</v>
      </c>
      <c r="H46" s="1">
        <v>215100</v>
      </c>
      <c r="I46" s="3" t="s">
        <v>69</v>
      </c>
    </row>
    <row r="47" spans="2:9" x14ac:dyDescent="0.25">
      <c r="B47" s="1" t="s">
        <v>0</v>
      </c>
      <c r="C47" s="2">
        <v>46144.320868055554</v>
      </c>
      <c r="D47" s="1" t="s">
        <v>87</v>
      </c>
      <c r="E47" s="1" t="s">
        <v>4</v>
      </c>
      <c r="F47" s="1">
        <v>3</v>
      </c>
      <c r="G47" s="1">
        <v>215100</v>
      </c>
      <c r="H47" s="1">
        <v>645300</v>
      </c>
      <c r="I47" s="3" t="s">
        <v>69</v>
      </c>
    </row>
    <row r="48" spans="2:9" x14ac:dyDescent="0.25">
      <c r="B48" s="1" t="s">
        <v>0</v>
      </c>
      <c r="C48" s="2">
        <v>46144.322430555556</v>
      </c>
      <c r="D48" s="1" t="s">
        <v>10</v>
      </c>
      <c r="E48" s="1" t="s">
        <v>2</v>
      </c>
      <c r="F48" s="1">
        <v>2</v>
      </c>
      <c r="G48" s="1">
        <v>112800</v>
      </c>
      <c r="H48" s="1">
        <v>225600</v>
      </c>
      <c r="I48" s="3" t="s">
        <v>3</v>
      </c>
    </row>
    <row r="49" spans="2:9" x14ac:dyDescent="0.25">
      <c r="B49" s="1" t="s">
        <v>0</v>
      </c>
      <c r="C49" s="2">
        <v>46144.322430555556</v>
      </c>
      <c r="D49" s="1" t="s">
        <v>10</v>
      </c>
      <c r="E49" s="1" t="s">
        <v>4</v>
      </c>
      <c r="F49" s="1">
        <v>3</v>
      </c>
      <c r="G49" s="1">
        <v>215100</v>
      </c>
      <c r="H49" s="1">
        <v>645300</v>
      </c>
      <c r="I49" s="3" t="s">
        <v>3</v>
      </c>
    </row>
    <row r="50" spans="2:9" x14ac:dyDescent="0.25">
      <c r="B50" s="1" t="s">
        <v>0</v>
      </c>
      <c r="C50" s="2">
        <v>46144.323136574072</v>
      </c>
      <c r="D50" s="1" t="s">
        <v>88</v>
      </c>
      <c r="E50" s="1" t="s">
        <v>2</v>
      </c>
      <c r="F50" s="1">
        <v>1</v>
      </c>
      <c r="G50" s="1">
        <v>112800</v>
      </c>
      <c r="H50" s="1">
        <v>112800</v>
      </c>
      <c r="I50" s="3" t="s">
        <v>69</v>
      </c>
    </row>
    <row r="51" spans="2:9" x14ac:dyDescent="0.25">
      <c r="B51" s="1" t="s">
        <v>0</v>
      </c>
      <c r="C51" s="2">
        <v>46144.323136574072</v>
      </c>
      <c r="D51" s="1" t="s">
        <v>88</v>
      </c>
      <c r="E51" s="1" t="s">
        <v>4</v>
      </c>
      <c r="F51" s="1">
        <v>1</v>
      </c>
      <c r="G51" s="1">
        <v>215100</v>
      </c>
      <c r="H51" s="1">
        <v>215100</v>
      </c>
      <c r="I51" s="3" t="s">
        <v>69</v>
      </c>
    </row>
    <row r="52" spans="2:9" x14ac:dyDescent="0.25">
      <c r="B52" s="1" t="s">
        <v>0</v>
      </c>
      <c r="C52" s="2">
        <v>46144.323645833334</v>
      </c>
      <c r="D52" s="1" t="s">
        <v>89</v>
      </c>
      <c r="E52" s="1" t="s">
        <v>2</v>
      </c>
      <c r="F52" s="1">
        <v>1</v>
      </c>
      <c r="G52" s="1">
        <v>112800</v>
      </c>
      <c r="H52" s="1">
        <v>112800</v>
      </c>
      <c r="I52" s="3" t="s">
        <v>69</v>
      </c>
    </row>
    <row r="53" spans="2:9" x14ac:dyDescent="0.25">
      <c r="B53" s="1" t="s">
        <v>0</v>
      </c>
      <c r="C53" s="2">
        <v>46144.323645833334</v>
      </c>
      <c r="D53" s="1" t="s">
        <v>89</v>
      </c>
      <c r="E53" s="1" t="s">
        <v>4</v>
      </c>
      <c r="F53" s="1">
        <v>1</v>
      </c>
      <c r="G53" s="1">
        <v>215100</v>
      </c>
      <c r="H53" s="1">
        <v>215100</v>
      </c>
      <c r="I53" s="3" t="s">
        <v>69</v>
      </c>
    </row>
    <row r="54" spans="2:9" x14ac:dyDescent="0.25">
      <c r="B54" s="1" t="s">
        <v>0</v>
      </c>
      <c r="C54" s="2">
        <v>46144.324293981481</v>
      </c>
      <c r="D54" s="1" t="s">
        <v>90</v>
      </c>
      <c r="E54" s="1" t="s">
        <v>2</v>
      </c>
      <c r="F54" s="1">
        <v>1</v>
      </c>
      <c r="G54" s="1">
        <v>112800</v>
      </c>
      <c r="H54" s="1">
        <v>112800</v>
      </c>
      <c r="I54" s="3" t="s">
        <v>69</v>
      </c>
    </row>
    <row r="55" spans="2:9" x14ac:dyDescent="0.25">
      <c r="B55" s="1" t="s">
        <v>0</v>
      </c>
      <c r="C55" s="2">
        <v>46144.324293981481</v>
      </c>
      <c r="D55" s="1" t="s">
        <v>90</v>
      </c>
      <c r="E55" s="1" t="s">
        <v>4</v>
      </c>
      <c r="F55" s="1">
        <v>1</v>
      </c>
      <c r="G55" s="1">
        <v>215100</v>
      </c>
      <c r="H55" s="1">
        <v>215100</v>
      </c>
      <c r="I55" s="3" t="s">
        <v>69</v>
      </c>
    </row>
    <row r="56" spans="2:9" x14ac:dyDescent="0.25">
      <c r="B56" s="1" t="s">
        <v>0</v>
      </c>
      <c r="C56" s="2">
        <v>46144.369062500002</v>
      </c>
      <c r="D56" s="1" t="s">
        <v>25</v>
      </c>
      <c r="E56" s="1" t="s">
        <v>2</v>
      </c>
      <c r="F56" s="1">
        <v>1</v>
      </c>
      <c r="G56" s="1">
        <v>112800</v>
      </c>
      <c r="H56" s="1">
        <v>112800</v>
      </c>
      <c r="I56" s="3" t="s">
        <v>69</v>
      </c>
    </row>
    <row r="57" spans="2:9" x14ac:dyDescent="0.25">
      <c r="B57" s="1" t="s">
        <v>0</v>
      </c>
      <c r="C57" s="2">
        <v>46144.369062500002</v>
      </c>
      <c r="D57" s="1" t="s">
        <v>25</v>
      </c>
      <c r="E57" s="1" t="s">
        <v>4</v>
      </c>
      <c r="F57" s="1">
        <v>2</v>
      </c>
      <c r="G57" s="1">
        <v>215100</v>
      </c>
      <c r="H57" s="1">
        <v>430200</v>
      </c>
      <c r="I57" s="3" t="s">
        <v>69</v>
      </c>
    </row>
    <row r="58" spans="2:9" x14ac:dyDescent="0.25">
      <c r="B58" s="1" t="s">
        <v>0</v>
      </c>
      <c r="C58" s="2">
        <v>46144.500590277778</v>
      </c>
      <c r="D58" s="1" t="s">
        <v>11</v>
      </c>
      <c r="E58" s="1" t="s">
        <v>4</v>
      </c>
      <c r="F58" s="1">
        <v>1</v>
      </c>
      <c r="G58" s="1">
        <v>215100</v>
      </c>
      <c r="H58" s="1">
        <v>215100</v>
      </c>
      <c r="I58" s="3" t="s">
        <v>3</v>
      </c>
    </row>
    <row r="59" spans="2:9" x14ac:dyDescent="0.25">
      <c r="B59" s="1" t="s">
        <v>0</v>
      </c>
      <c r="C59" s="2">
        <v>46146.337997685187</v>
      </c>
      <c r="D59" s="1" t="s">
        <v>91</v>
      </c>
      <c r="E59" s="1" t="s">
        <v>4</v>
      </c>
      <c r="F59" s="1">
        <v>5</v>
      </c>
      <c r="G59" s="1">
        <v>215100</v>
      </c>
      <c r="H59" s="1">
        <v>1075500</v>
      </c>
      <c r="I59" s="3" t="s">
        <v>69</v>
      </c>
    </row>
    <row r="60" spans="2:9" x14ac:dyDescent="0.25">
      <c r="B60" s="1" t="s">
        <v>0</v>
      </c>
      <c r="C60" s="2">
        <v>46146.339305555557</v>
      </c>
      <c r="D60" s="1" t="s">
        <v>12</v>
      </c>
      <c r="E60" s="1" t="s">
        <v>2</v>
      </c>
      <c r="F60" s="1">
        <v>5</v>
      </c>
      <c r="G60" s="1">
        <v>112800</v>
      </c>
      <c r="H60" s="1">
        <v>564000</v>
      </c>
      <c r="I60" s="3" t="s">
        <v>3</v>
      </c>
    </row>
    <row r="61" spans="2:9" x14ac:dyDescent="0.25">
      <c r="B61" s="1" t="s">
        <v>0</v>
      </c>
      <c r="C61" s="2">
        <v>46146.339305555557</v>
      </c>
      <c r="D61" s="1" t="s">
        <v>12</v>
      </c>
      <c r="E61" s="1" t="s">
        <v>4</v>
      </c>
      <c r="F61" s="1">
        <v>5</v>
      </c>
      <c r="G61" s="1">
        <v>215100</v>
      </c>
      <c r="H61" s="1">
        <v>1075500</v>
      </c>
      <c r="I61" s="3" t="s">
        <v>3</v>
      </c>
    </row>
    <row r="62" spans="2:9" x14ac:dyDescent="0.25">
      <c r="B62" s="1" t="s">
        <v>0</v>
      </c>
      <c r="C62" s="2">
        <v>46146.339895833335</v>
      </c>
      <c r="D62" s="1" t="s">
        <v>92</v>
      </c>
      <c r="E62" s="1" t="s">
        <v>2</v>
      </c>
      <c r="F62" s="1">
        <v>5</v>
      </c>
      <c r="G62" s="1">
        <v>112800</v>
      </c>
      <c r="H62" s="1">
        <v>564000</v>
      </c>
      <c r="I62" s="3" t="s">
        <v>69</v>
      </c>
    </row>
    <row r="63" spans="2:9" x14ac:dyDescent="0.25">
      <c r="B63" s="1" t="s">
        <v>0</v>
      </c>
      <c r="C63" s="2">
        <v>46146.339895833335</v>
      </c>
      <c r="D63" s="1" t="s">
        <v>92</v>
      </c>
      <c r="E63" s="1" t="s">
        <v>4</v>
      </c>
      <c r="F63" s="1">
        <v>5</v>
      </c>
      <c r="G63" s="1">
        <v>215100</v>
      </c>
      <c r="H63" s="1">
        <v>1075500</v>
      </c>
      <c r="I63" s="3" t="s">
        <v>69</v>
      </c>
    </row>
    <row r="64" spans="2:9" x14ac:dyDescent="0.25">
      <c r="B64" s="1" t="s">
        <v>0</v>
      </c>
      <c r="C64" s="2">
        <v>46146.340555555558</v>
      </c>
      <c r="D64" s="1" t="s">
        <v>93</v>
      </c>
      <c r="E64" s="1" t="s">
        <v>2</v>
      </c>
      <c r="F64" s="1">
        <v>1</v>
      </c>
      <c r="G64" s="1">
        <v>112800</v>
      </c>
      <c r="H64" s="1">
        <v>112800</v>
      </c>
      <c r="I64" s="3" t="s">
        <v>69</v>
      </c>
    </row>
    <row r="65" spans="2:9" x14ac:dyDescent="0.25">
      <c r="B65" s="1" t="s">
        <v>0</v>
      </c>
      <c r="C65" s="2">
        <v>46146.340555555558</v>
      </c>
      <c r="D65" s="1" t="s">
        <v>93</v>
      </c>
      <c r="E65" s="1" t="s">
        <v>4</v>
      </c>
      <c r="F65" s="1">
        <v>1</v>
      </c>
      <c r="G65" s="1">
        <v>215100</v>
      </c>
      <c r="H65" s="1">
        <v>215100</v>
      </c>
      <c r="I65" s="3" t="s">
        <v>69</v>
      </c>
    </row>
    <row r="66" spans="2:9" x14ac:dyDescent="0.25">
      <c r="B66" s="1" t="s">
        <v>0</v>
      </c>
      <c r="C66" s="2">
        <v>46146.341539351852</v>
      </c>
      <c r="D66" s="1" t="s">
        <v>94</v>
      </c>
      <c r="E66" s="1" t="s">
        <v>4</v>
      </c>
      <c r="F66" s="1">
        <v>1</v>
      </c>
      <c r="G66" s="1">
        <v>215100</v>
      </c>
      <c r="H66" s="1">
        <v>215100</v>
      </c>
      <c r="I66" s="3" t="s">
        <v>69</v>
      </c>
    </row>
    <row r="67" spans="2:9" x14ac:dyDescent="0.25">
      <c r="B67" s="1" t="s">
        <v>0</v>
      </c>
      <c r="C67" s="2">
        <v>46146.475208333337</v>
      </c>
      <c r="D67" s="1" t="s">
        <v>95</v>
      </c>
      <c r="E67" s="1" t="s">
        <v>4</v>
      </c>
      <c r="F67" s="1">
        <v>1</v>
      </c>
      <c r="G67" s="1">
        <v>215100</v>
      </c>
      <c r="H67" s="1">
        <v>215100</v>
      </c>
      <c r="I67" s="3" t="s">
        <v>69</v>
      </c>
    </row>
    <row r="68" spans="2:9" x14ac:dyDescent="0.25">
      <c r="B68" s="1" t="s">
        <v>0</v>
      </c>
      <c r="C68" s="2">
        <v>46146.344340277778</v>
      </c>
      <c r="D68" s="1" t="s">
        <v>13</v>
      </c>
      <c r="E68" s="1" t="s">
        <v>2</v>
      </c>
      <c r="F68" s="1">
        <v>5</v>
      </c>
      <c r="G68" s="1">
        <v>112800</v>
      </c>
      <c r="H68" s="1">
        <v>564000</v>
      </c>
      <c r="I68" s="3" t="s">
        <v>3</v>
      </c>
    </row>
    <row r="69" spans="2:9" x14ac:dyDescent="0.25">
      <c r="B69" s="1" t="s">
        <v>0</v>
      </c>
      <c r="C69" s="2">
        <v>46146.344988425924</v>
      </c>
      <c r="D69" s="1" t="s">
        <v>14</v>
      </c>
      <c r="E69" s="1" t="s">
        <v>4</v>
      </c>
      <c r="F69" s="1">
        <v>10</v>
      </c>
      <c r="G69" s="1">
        <v>215100</v>
      </c>
      <c r="H69" s="1">
        <v>2151000</v>
      </c>
      <c r="I69" s="3" t="s">
        <v>3</v>
      </c>
    </row>
    <row r="70" spans="2:9" x14ac:dyDescent="0.25">
      <c r="B70" s="1" t="s">
        <v>0</v>
      </c>
      <c r="C70" s="2">
        <v>46146.345578703702</v>
      </c>
      <c r="D70" s="1" t="s">
        <v>96</v>
      </c>
      <c r="E70" s="1" t="s">
        <v>2</v>
      </c>
      <c r="F70" s="1">
        <v>1</v>
      </c>
      <c r="G70" s="1">
        <v>112800</v>
      </c>
      <c r="H70" s="1">
        <v>112800</v>
      </c>
      <c r="I70" s="3" t="s">
        <v>69</v>
      </c>
    </row>
    <row r="71" spans="2:9" x14ac:dyDescent="0.25">
      <c r="B71" s="1" t="s">
        <v>0</v>
      </c>
      <c r="C71" s="2">
        <v>46146.345578703702</v>
      </c>
      <c r="D71" s="1" t="s">
        <v>96</v>
      </c>
      <c r="E71" s="1" t="s">
        <v>4</v>
      </c>
      <c r="F71" s="1">
        <v>5</v>
      </c>
      <c r="G71" s="1">
        <v>215100</v>
      </c>
      <c r="H71" s="1">
        <v>1075500</v>
      </c>
      <c r="I71" s="3" t="s">
        <v>69</v>
      </c>
    </row>
    <row r="72" spans="2:9" x14ac:dyDescent="0.25">
      <c r="B72" s="1" t="s">
        <v>0</v>
      </c>
      <c r="C72" s="2">
        <v>46146.346307870372</v>
      </c>
      <c r="D72" s="1" t="s">
        <v>97</v>
      </c>
      <c r="E72" s="1" t="s">
        <v>4</v>
      </c>
      <c r="F72" s="1">
        <v>5</v>
      </c>
      <c r="G72" s="1">
        <v>215100</v>
      </c>
      <c r="H72" s="1">
        <v>1075500</v>
      </c>
      <c r="I72" s="3" t="s">
        <v>69</v>
      </c>
    </row>
    <row r="73" spans="2:9" x14ac:dyDescent="0.25">
      <c r="B73" s="1" t="s">
        <v>0</v>
      </c>
      <c r="C73" s="2">
        <v>46146.346851851849</v>
      </c>
      <c r="D73" s="1" t="s">
        <v>98</v>
      </c>
      <c r="E73" s="1" t="s">
        <v>4</v>
      </c>
      <c r="F73" s="1">
        <v>3</v>
      </c>
      <c r="G73" s="1">
        <v>215100</v>
      </c>
      <c r="H73" s="1">
        <v>645300</v>
      </c>
      <c r="I73" s="3" t="s">
        <v>69</v>
      </c>
    </row>
    <row r="74" spans="2:9" x14ac:dyDescent="0.25">
      <c r="B74" s="1" t="s">
        <v>0</v>
      </c>
      <c r="C74" s="2">
        <v>46146.476689814815</v>
      </c>
      <c r="D74" s="1" t="s">
        <v>99</v>
      </c>
      <c r="E74" s="1" t="s">
        <v>4</v>
      </c>
      <c r="F74" s="1">
        <v>2</v>
      </c>
      <c r="G74" s="1">
        <v>215100</v>
      </c>
      <c r="H74" s="1">
        <v>430200</v>
      </c>
      <c r="I74" s="3" t="s">
        <v>69</v>
      </c>
    </row>
    <row r="75" spans="2:9" x14ac:dyDescent="0.25">
      <c r="B75" s="1" t="s">
        <v>0</v>
      </c>
      <c r="C75" s="2">
        <v>46146.348333333335</v>
      </c>
      <c r="D75" s="1" t="s">
        <v>15</v>
      </c>
      <c r="E75" s="1" t="s">
        <v>4</v>
      </c>
      <c r="F75" s="1">
        <v>1</v>
      </c>
      <c r="G75" s="1">
        <v>215100</v>
      </c>
      <c r="H75" s="1">
        <v>215100</v>
      </c>
      <c r="I75" s="3" t="s">
        <v>3</v>
      </c>
    </row>
    <row r="76" spans="2:9" x14ac:dyDescent="0.25">
      <c r="B76" s="1" t="s">
        <v>0</v>
      </c>
      <c r="C76" s="2">
        <v>46146.349074074074</v>
      </c>
      <c r="D76" s="1" t="s">
        <v>16</v>
      </c>
      <c r="E76" s="1" t="s">
        <v>4</v>
      </c>
      <c r="F76" s="1">
        <v>5</v>
      </c>
      <c r="G76" s="1">
        <v>215100</v>
      </c>
      <c r="H76" s="1">
        <v>1075500</v>
      </c>
      <c r="I76" s="3" t="s">
        <v>3</v>
      </c>
    </row>
    <row r="77" spans="2:9" x14ac:dyDescent="0.25">
      <c r="B77" s="1" t="s">
        <v>0</v>
      </c>
      <c r="C77" s="2">
        <v>46146.34983796296</v>
      </c>
      <c r="D77" s="1" t="s">
        <v>17</v>
      </c>
      <c r="E77" s="1" t="s">
        <v>2</v>
      </c>
      <c r="F77" s="1">
        <v>1</v>
      </c>
      <c r="G77" s="1">
        <v>112800</v>
      </c>
      <c r="H77" s="1">
        <v>112800</v>
      </c>
      <c r="I77" s="3" t="s">
        <v>3</v>
      </c>
    </row>
    <row r="78" spans="2:9" ht="16.5" customHeight="1" x14ac:dyDescent="0.25">
      <c r="B78" s="1" t="s">
        <v>0</v>
      </c>
      <c r="C78" s="2">
        <v>46146.352442129632</v>
      </c>
      <c r="D78" s="1" t="s">
        <v>18</v>
      </c>
      <c r="E78" s="1" t="s">
        <v>4</v>
      </c>
      <c r="F78" s="1">
        <v>10</v>
      </c>
      <c r="G78" s="1">
        <v>215100</v>
      </c>
      <c r="H78" s="1">
        <v>2151000</v>
      </c>
      <c r="I78" s="3" t="s">
        <v>3</v>
      </c>
    </row>
    <row r="79" spans="2:9" x14ac:dyDescent="0.25">
      <c r="B79" s="1" t="s">
        <v>0</v>
      </c>
      <c r="C79" s="2">
        <v>46146.35596064815</v>
      </c>
      <c r="D79" s="1" t="s">
        <v>19</v>
      </c>
      <c r="E79" s="1" t="s">
        <v>4</v>
      </c>
      <c r="F79" s="1">
        <v>5</v>
      </c>
      <c r="G79" s="1">
        <v>215100</v>
      </c>
      <c r="H79" s="1">
        <v>1075500</v>
      </c>
      <c r="I79" s="3" t="s">
        <v>3</v>
      </c>
    </row>
    <row r="80" spans="2:9" x14ac:dyDescent="0.25">
      <c r="B80" s="1" t="s">
        <v>0</v>
      </c>
      <c r="C80" s="2">
        <v>46146.357824074075</v>
      </c>
      <c r="D80" s="1" t="s">
        <v>100</v>
      </c>
      <c r="E80" s="1" t="s">
        <v>4</v>
      </c>
      <c r="F80" s="1">
        <v>10</v>
      </c>
      <c r="G80" s="1">
        <v>215100</v>
      </c>
      <c r="H80" s="1">
        <v>2151000</v>
      </c>
      <c r="I80" s="3" t="s">
        <v>69</v>
      </c>
    </row>
    <row r="81" spans="2:9" x14ac:dyDescent="0.25">
      <c r="B81" s="1" t="s">
        <v>0</v>
      </c>
      <c r="C81" s="2">
        <v>46146.319745370369</v>
      </c>
      <c r="D81" s="1" t="s">
        <v>20</v>
      </c>
      <c r="E81" s="1" t="s">
        <v>2</v>
      </c>
      <c r="F81" s="1">
        <v>5</v>
      </c>
      <c r="G81" s="1">
        <v>112800</v>
      </c>
      <c r="H81" s="1">
        <v>564000</v>
      </c>
      <c r="I81" s="3" t="s">
        <v>3</v>
      </c>
    </row>
    <row r="82" spans="2:9" x14ac:dyDescent="0.25">
      <c r="B82" s="1" t="s">
        <v>0</v>
      </c>
      <c r="C82" s="2">
        <v>46146.319745370369</v>
      </c>
      <c r="D82" s="1" t="s">
        <v>20</v>
      </c>
      <c r="E82" s="1" t="s">
        <v>4</v>
      </c>
      <c r="F82" s="1">
        <v>5</v>
      </c>
      <c r="G82" s="1">
        <v>215100</v>
      </c>
      <c r="H82" s="1">
        <v>1075500</v>
      </c>
      <c r="I82" s="3" t="s">
        <v>3</v>
      </c>
    </row>
    <row r="83" spans="2:9" x14ac:dyDescent="0.25">
      <c r="B83" s="1" t="s">
        <v>0</v>
      </c>
      <c r="C83" s="2">
        <v>46146.322488425925</v>
      </c>
      <c r="D83" s="1" t="s">
        <v>21</v>
      </c>
      <c r="E83" s="1" t="s">
        <v>4</v>
      </c>
      <c r="F83" s="1">
        <v>1</v>
      </c>
      <c r="G83" s="1">
        <v>215100</v>
      </c>
      <c r="H83" s="1">
        <v>215100</v>
      </c>
      <c r="I83" s="3" t="s">
        <v>3</v>
      </c>
    </row>
    <row r="84" spans="2:9" x14ac:dyDescent="0.25">
      <c r="B84" s="1" t="s">
        <v>0</v>
      </c>
      <c r="C84" s="2">
        <v>46147.361620370371</v>
      </c>
      <c r="D84" s="1" t="s">
        <v>22</v>
      </c>
      <c r="E84" s="1" t="s">
        <v>2</v>
      </c>
      <c r="F84" s="1">
        <v>5</v>
      </c>
      <c r="G84" s="1">
        <v>112800</v>
      </c>
      <c r="H84" s="1">
        <v>564000</v>
      </c>
      <c r="I84" s="3" t="s">
        <v>3</v>
      </c>
    </row>
    <row r="85" spans="2:9" x14ac:dyDescent="0.25">
      <c r="B85" s="1" t="s">
        <v>0</v>
      </c>
      <c r="C85" s="2">
        <v>46147.362199074072</v>
      </c>
      <c r="D85" s="1" t="s">
        <v>101</v>
      </c>
      <c r="E85" s="1" t="s">
        <v>4</v>
      </c>
      <c r="F85" s="1">
        <v>2</v>
      </c>
      <c r="G85" s="1">
        <v>215100</v>
      </c>
      <c r="H85" s="1">
        <v>430200</v>
      </c>
      <c r="I85" s="3" t="s">
        <v>69</v>
      </c>
    </row>
    <row r="86" spans="2:9" x14ac:dyDescent="0.25">
      <c r="B86" s="1" t="s">
        <v>0</v>
      </c>
      <c r="C86" s="2">
        <v>46147.362847222219</v>
      </c>
      <c r="D86" s="1" t="s">
        <v>102</v>
      </c>
      <c r="E86" s="1" t="s">
        <v>4</v>
      </c>
      <c r="F86" s="1">
        <v>1</v>
      </c>
      <c r="G86" s="1">
        <v>215100</v>
      </c>
      <c r="H86" s="1">
        <v>215100</v>
      </c>
      <c r="I86" s="3" t="s">
        <v>69</v>
      </c>
    </row>
    <row r="87" spans="2:9" x14ac:dyDescent="0.25">
      <c r="B87" s="1" t="s">
        <v>0</v>
      </c>
      <c r="C87" s="2">
        <v>46147.363402777781</v>
      </c>
      <c r="D87" s="1" t="s">
        <v>103</v>
      </c>
      <c r="E87" s="1" t="s">
        <v>2</v>
      </c>
      <c r="F87" s="1">
        <v>1</v>
      </c>
      <c r="G87" s="1">
        <v>112800</v>
      </c>
      <c r="H87" s="1">
        <v>112800</v>
      </c>
      <c r="I87" s="3" t="s">
        <v>69</v>
      </c>
    </row>
    <row r="88" spans="2:9" x14ac:dyDescent="0.25">
      <c r="B88" s="1" t="s">
        <v>0</v>
      </c>
      <c r="C88" s="2">
        <v>46147.363402777781</v>
      </c>
      <c r="D88" s="1" t="s">
        <v>103</v>
      </c>
      <c r="E88" s="1" t="s">
        <v>4</v>
      </c>
      <c r="F88" s="1">
        <v>1</v>
      </c>
      <c r="G88" s="1">
        <v>215100</v>
      </c>
      <c r="H88" s="1">
        <v>215100</v>
      </c>
      <c r="I88" s="3" t="s">
        <v>69</v>
      </c>
    </row>
    <row r="89" spans="2:9" x14ac:dyDescent="0.25">
      <c r="B89" s="1" t="s">
        <v>0</v>
      </c>
      <c r="C89" s="2">
        <v>46147.363935185182</v>
      </c>
      <c r="D89" s="1" t="s">
        <v>104</v>
      </c>
      <c r="E89" s="1" t="s">
        <v>4</v>
      </c>
      <c r="F89" s="1">
        <v>1</v>
      </c>
      <c r="G89" s="1">
        <v>215100</v>
      </c>
      <c r="H89" s="1">
        <v>215100</v>
      </c>
      <c r="I89" s="3" t="s">
        <v>69</v>
      </c>
    </row>
    <row r="90" spans="2:9" x14ac:dyDescent="0.25">
      <c r="B90" s="1" t="s">
        <v>0</v>
      </c>
      <c r="C90" s="2">
        <v>46147.364583333336</v>
      </c>
      <c r="D90" s="1" t="s">
        <v>105</v>
      </c>
      <c r="E90" s="1" t="s">
        <v>2</v>
      </c>
      <c r="F90" s="1">
        <v>1</v>
      </c>
      <c r="G90" s="1">
        <v>112800</v>
      </c>
      <c r="H90" s="1">
        <v>112800</v>
      </c>
      <c r="I90" s="3" t="s">
        <v>69</v>
      </c>
    </row>
    <row r="91" spans="2:9" x14ac:dyDescent="0.25">
      <c r="B91" s="1" t="s">
        <v>0</v>
      </c>
      <c r="C91" s="2">
        <v>46147.364583333336</v>
      </c>
      <c r="D91" s="1" t="s">
        <v>105</v>
      </c>
      <c r="E91" s="1" t="s">
        <v>4</v>
      </c>
      <c r="F91" s="1">
        <v>1</v>
      </c>
      <c r="G91" s="1">
        <v>215100</v>
      </c>
      <c r="H91" s="1">
        <v>215100</v>
      </c>
      <c r="I91" s="3" t="s">
        <v>69</v>
      </c>
    </row>
    <row r="92" spans="2:9" x14ac:dyDescent="0.25">
      <c r="B92" s="1" t="s">
        <v>0</v>
      </c>
      <c r="C92" s="2">
        <v>46147.367013888892</v>
      </c>
      <c r="D92" s="1" t="s">
        <v>106</v>
      </c>
      <c r="E92" s="1" t="s">
        <v>2</v>
      </c>
      <c r="F92" s="1">
        <v>1</v>
      </c>
      <c r="G92" s="1">
        <v>112800</v>
      </c>
      <c r="H92" s="1">
        <v>112800</v>
      </c>
      <c r="I92" s="3" t="s">
        <v>69</v>
      </c>
    </row>
    <row r="93" spans="2:9" x14ac:dyDescent="0.25">
      <c r="B93" s="1" t="s">
        <v>0</v>
      </c>
      <c r="C93" s="2">
        <v>46147.367013888892</v>
      </c>
      <c r="D93" s="1" t="s">
        <v>106</v>
      </c>
      <c r="E93" s="1" t="s">
        <v>4</v>
      </c>
      <c r="F93" s="1">
        <v>2</v>
      </c>
      <c r="G93" s="1">
        <v>215100</v>
      </c>
      <c r="H93" s="1">
        <v>430200</v>
      </c>
      <c r="I93" s="3" t="s">
        <v>69</v>
      </c>
    </row>
    <row r="94" spans="2:9" x14ac:dyDescent="0.25">
      <c r="B94" s="1" t="s">
        <v>0</v>
      </c>
      <c r="C94" s="2">
        <v>46147.367592592593</v>
      </c>
      <c r="D94" s="1" t="s">
        <v>107</v>
      </c>
      <c r="E94" s="1" t="s">
        <v>4</v>
      </c>
      <c r="F94" s="1">
        <v>2</v>
      </c>
      <c r="G94" s="1">
        <v>215100</v>
      </c>
      <c r="H94" s="1">
        <v>430200</v>
      </c>
      <c r="I94" s="3" t="s">
        <v>69</v>
      </c>
    </row>
    <row r="95" spans="2:9" x14ac:dyDescent="0.25">
      <c r="B95" s="1" t="s">
        <v>0</v>
      </c>
      <c r="C95" s="2">
        <v>46147.36818287037</v>
      </c>
      <c r="D95" s="1" t="s">
        <v>108</v>
      </c>
      <c r="E95" s="1" t="s">
        <v>4</v>
      </c>
      <c r="F95" s="1">
        <v>1</v>
      </c>
      <c r="G95" s="1">
        <v>215100</v>
      </c>
      <c r="H95" s="1">
        <v>215100</v>
      </c>
      <c r="I95" s="3" t="s">
        <v>69</v>
      </c>
    </row>
    <row r="96" spans="2:9" x14ac:dyDescent="0.25">
      <c r="B96" s="1" t="s">
        <v>0</v>
      </c>
      <c r="C96" s="2">
        <v>46147.371122685188</v>
      </c>
      <c r="D96" s="1" t="s">
        <v>23</v>
      </c>
      <c r="E96" s="1" t="s">
        <v>4</v>
      </c>
      <c r="F96" s="1">
        <v>3</v>
      </c>
      <c r="G96" s="1">
        <v>215100</v>
      </c>
      <c r="H96" s="1">
        <v>645300</v>
      </c>
      <c r="I96" s="3" t="s">
        <v>3</v>
      </c>
    </row>
    <row r="97" spans="2:9" x14ac:dyDescent="0.25">
      <c r="B97" s="1" t="s">
        <v>0</v>
      </c>
      <c r="C97" s="2">
        <v>46147.371122685188</v>
      </c>
      <c r="D97" s="1" t="s">
        <v>23</v>
      </c>
      <c r="E97" s="1" t="s">
        <v>2</v>
      </c>
      <c r="F97" s="1">
        <v>2</v>
      </c>
      <c r="G97" s="1">
        <v>112800</v>
      </c>
      <c r="H97" s="1">
        <v>225600</v>
      </c>
      <c r="I97" s="3" t="s">
        <v>3</v>
      </c>
    </row>
    <row r="98" spans="2:9" x14ac:dyDescent="0.25">
      <c r="B98" s="1" t="s">
        <v>0</v>
      </c>
      <c r="C98" s="2">
        <v>46147.36990740741</v>
      </c>
      <c r="D98" s="1" t="s">
        <v>109</v>
      </c>
      <c r="E98" s="1" t="s">
        <v>4</v>
      </c>
      <c r="F98" s="1">
        <v>1</v>
      </c>
      <c r="G98" s="1">
        <v>215100</v>
      </c>
      <c r="H98" s="1">
        <v>215100</v>
      </c>
      <c r="I98" s="3" t="s">
        <v>69</v>
      </c>
    </row>
    <row r="99" spans="2:9" x14ac:dyDescent="0.25">
      <c r="B99" s="1" t="s">
        <v>0</v>
      </c>
      <c r="C99" s="2">
        <v>46147.371736111112</v>
      </c>
      <c r="D99" s="1" t="s">
        <v>110</v>
      </c>
      <c r="E99" s="1" t="s">
        <v>4</v>
      </c>
      <c r="F99" s="1">
        <v>2</v>
      </c>
      <c r="G99" s="1">
        <v>215100</v>
      </c>
      <c r="H99" s="1">
        <v>430200</v>
      </c>
      <c r="I99" s="3" t="s">
        <v>69</v>
      </c>
    </row>
    <row r="100" spans="2:9" x14ac:dyDescent="0.25">
      <c r="B100" s="1" t="s">
        <v>0</v>
      </c>
      <c r="C100" s="2">
        <v>46147.37232638889</v>
      </c>
      <c r="D100" s="1" t="s">
        <v>24</v>
      </c>
      <c r="E100" s="1" t="s">
        <v>4</v>
      </c>
      <c r="F100" s="1">
        <v>2</v>
      </c>
      <c r="G100" s="1">
        <v>215100</v>
      </c>
      <c r="H100" s="1">
        <v>430200</v>
      </c>
      <c r="I100" s="3" t="s">
        <v>3</v>
      </c>
    </row>
    <row r="101" spans="2:9" x14ac:dyDescent="0.25">
      <c r="B101" s="1" t="s">
        <v>0</v>
      </c>
      <c r="C101" s="2">
        <v>46147.372881944444</v>
      </c>
      <c r="D101" s="1" t="s">
        <v>111</v>
      </c>
      <c r="E101" s="1" t="s">
        <v>4</v>
      </c>
      <c r="F101" s="1">
        <v>20</v>
      </c>
      <c r="G101" s="1">
        <v>215100</v>
      </c>
      <c r="H101" s="1">
        <v>4302000</v>
      </c>
      <c r="I101" s="3" t="s">
        <v>69</v>
      </c>
    </row>
    <row r="102" spans="2:9" x14ac:dyDescent="0.25">
      <c r="B102" s="1" t="s">
        <v>0</v>
      </c>
      <c r="C102" s="2">
        <v>46147.316203703704</v>
      </c>
      <c r="D102" s="1" t="s">
        <v>112</v>
      </c>
      <c r="E102" s="1" t="s">
        <v>4</v>
      </c>
      <c r="F102" s="1">
        <v>1</v>
      </c>
      <c r="G102" s="1">
        <v>215100</v>
      </c>
      <c r="H102" s="1">
        <v>215100</v>
      </c>
      <c r="I102" s="3" t="s">
        <v>69</v>
      </c>
    </row>
    <row r="103" spans="2:9" x14ac:dyDescent="0.25">
      <c r="B103" s="1" t="s">
        <v>0</v>
      </c>
      <c r="C103" s="2">
        <v>46147.316620370373</v>
      </c>
      <c r="D103" s="1" t="s">
        <v>25</v>
      </c>
      <c r="E103" s="1" t="s">
        <v>4</v>
      </c>
      <c r="F103" s="1">
        <v>1</v>
      </c>
      <c r="G103" s="1">
        <v>215100</v>
      </c>
      <c r="H103" s="1">
        <v>215100</v>
      </c>
      <c r="I103" s="3" t="s">
        <v>3</v>
      </c>
    </row>
    <row r="104" spans="2:9" x14ac:dyDescent="0.25">
      <c r="B104" s="1" t="s">
        <v>0</v>
      </c>
      <c r="C104" s="2">
        <v>46148.375381944446</v>
      </c>
      <c r="D104" s="1" t="s">
        <v>113</v>
      </c>
      <c r="E104" s="1" t="s">
        <v>2</v>
      </c>
      <c r="F104" s="1">
        <v>1</v>
      </c>
      <c r="G104" s="1">
        <v>112800</v>
      </c>
      <c r="H104" s="1">
        <v>112800</v>
      </c>
      <c r="I104" s="3" t="s">
        <v>69</v>
      </c>
    </row>
    <row r="105" spans="2:9" x14ac:dyDescent="0.25">
      <c r="B105" s="1" t="s">
        <v>0</v>
      </c>
      <c r="C105" s="2">
        <v>46148.375960648147</v>
      </c>
      <c r="D105" s="1" t="s">
        <v>114</v>
      </c>
      <c r="E105" s="1" t="s">
        <v>2</v>
      </c>
      <c r="F105" s="1">
        <v>3</v>
      </c>
      <c r="G105" s="1">
        <v>112800</v>
      </c>
      <c r="H105" s="1">
        <v>338400</v>
      </c>
      <c r="I105" s="3" t="s">
        <v>69</v>
      </c>
    </row>
    <row r="106" spans="2:9" x14ac:dyDescent="0.25">
      <c r="B106" s="1" t="s">
        <v>0</v>
      </c>
      <c r="C106" s="2">
        <v>46148.376759259256</v>
      </c>
      <c r="D106" s="1" t="s">
        <v>115</v>
      </c>
      <c r="E106" s="1" t="s">
        <v>4</v>
      </c>
      <c r="F106" s="1">
        <v>1</v>
      </c>
      <c r="G106" s="1">
        <v>215100</v>
      </c>
      <c r="H106" s="1">
        <v>215100</v>
      </c>
      <c r="I106" s="3" t="s">
        <v>69</v>
      </c>
    </row>
    <row r="107" spans="2:9" x14ac:dyDescent="0.25">
      <c r="B107" s="1" t="s">
        <v>0</v>
      </c>
      <c r="C107" s="2">
        <v>46148.377951388888</v>
      </c>
      <c r="D107" s="1" t="s">
        <v>26</v>
      </c>
      <c r="E107" s="1" t="s">
        <v>2</v>
      </c>
      <c r="F107" s="1">
        <v>1</v>
      </c>
      <c r="G107" s="1">
        <v>112800</v>
      </c>
      <c r="H107" s="1">
        <v>112800</v>
      </c>
      <c r="I107" s="3" t="s">
        <v>3</v>
      </c>
    </row>
    <row r="108" spans="2:9" x14ac:dyDescent="0.25">
      <c r="B108" s="1" t="s">
        <v>0</v>
      </c>
      <c r="C108" s="2">
        <v>46148.377951388888</v>
      </c>
      <c r="D108" s="1" t="s">
        <v>26</v>
      </c>
      <c r="E108" s="1" t="s">
        <v>4</v>
      </c>
      <c r="F108" s="1">
        <v>1</v>
      </c>
      <c r="G108" s="1">
        <v>215100</v>
      </c>
      <c r="H108" s="1">
        <v>215100</v>
      </c>
      <c r="I108" s="3" t="s">
        <v>3</v>
      </c>
    </row>
    <row r="109" spans="2:9" x14ac:dyDescent="0.25">
      <c r="B109" s="1" t="s">
        <v>0</v>
      </c>
      <c r="C109" s="2">
        <v>46148.380752314813</v>
      </c>
      <c r="D109" s="1" t="s">
        <v>116</v>
      </c>
      <c r="E109" s="1" t="s">
        <v>2</v>
      </c>
      <c r="F109" s="1">
        <v>1</v>
      </c>
      <c r="G109" s="1">
        <v>112800</v>
      </c>
      <c r="H109" s="1">
        <v>112800</v>
      </c>
      <c r="I109" s="3" t="s">
        <v>69</v>
      </c>
    </row>
    <row r="110" spans="2:9" x14ac:dyDescent="0.25">
      <c r="B110" s="1" t="s">
        <v>0</v>
      </c>
      <c r="C110" s="2">
        <v>46148.380752314813</v>
      </c>
      <c r="D110" s="1" t="s">
        <v>116</v>
      </c>
      <c r="E110" s="1" t="s">
        <v>4</v>
      </c>
      <c r="F110" s="1">
        <v>2</v>
      </c>
      <c r="G110" s="1">
        <v>215100</v>
      </c>
      <c r="H110" s="1">
        <v>430200</v>
      </c>
      <c r="I110" s="3" t="s">
        <v>69</v>
      </c>
    </row>
    <row r="111" spans="2:9" x14ac:dyDescent="0.25">
      <c r="B111" s="1" t="s">
        <v>0</v>
      </c>
      <c r="C111" s="2">
        <v>46148.381516203706</v>
      </c>
      <c r="D111" s="1" t="s">
        <v>117</v>
      </c>
      <c r="E111" s="1" t="s">
        <v>2</v>
      </c>
      <c r="F111" s="1">
        <v>10</v>
      </c>
      <c r="G111" s="1">
        <v>112800</v>
      </c>
      <c r="H111" s="1">
        <v>1128000</v>
      </c>
      <c r="I111" s="3" t="s">
        <v>69</v>
      </c>
    </row>
    <row r="112" spans="2:9" x14ac:dyDescent="0.25">
      <c r="B112" s="1" t="s">
        <v>0</v>
      </c>
      <c r="C112" s="2">
        <v>46148.381516203706</v>
      </c>
      <c r="D112" s="1" t="s">
        <v>117</v>
      </c>
      <c r="E112" s="1" t="s">
        <v>4</v>
      </c>
      <c r="F112" s="1">
        <v>5</v>
      </c>
      <c r="G112" s="1">
        <v>215100</v>
      </c>
      <c r="H112" s="1">
        <v>1075500</v>
      </c>
      <c r="I112" s="3" t="s">
        <v>69</v>
      </c>
    </row>
    <row r="113" spans="2:9" x14ac:dyDescent="0.25">
      <c r="B113" s="1" t="s">
        <v>0</v>
      </c>
      <c r="C113" s="2">
        <v>46148.384120370371</v>
      </c>
      <c r="D113" s="1" t="s">
        <v>27</v>
      </c>
      <c r="E113" s="1" t="s">
        <v>2</v>
      </c>
      <c r="F113" s="1">
        <v>10</v>
      </c>
      <c r="G113" s="1">
        <v>112800</v>
      </c>
      <c r="H113" s="1">
        <v>1128000</v>
      </c>
      <c r="I113" s="3" t="s">
        <v>3</v>
      </c>
    </row>
    <row r="114" spans="2:9" x14ac:dyDescent="0.25">
      <c r="B114" s="1" t="s">
        <v>0</v>
      </c>
      <c r="C114" s="2">
        <v>46148.384120370371</v>
      </c>
      <c r="D114" s="1" t="s">
        <v>27</v>
      </c>
      <c r="E114" s="1" t="s">
        <v>4</v>
      </c>
      <c r="F114" s="1">
        <v>10</v>
      </c>
      <c r="G114" s="1">
        <v>215100</v>
      </c>
      <c r="H114" s="1">
        <v>2151000</v>
      </c>
      <c r="I114" s="3" t="s">
        <v>3</v>
      </c>
    </row>
    <row r="115" spans="2:9" x14ac:dyDescent="0.25">
      <c r="B115" s="1" t="s">
        <v>0</v>
      </c>
      <c r="C115" s="2">
        <v>46148.394537037035</v>
      </c>
      <c r="D115" s="1" t="s">
        <v>28</v>
      </c>
      <c r="E115" s="1" t="s">
        <v>2</v>
      </c>
      <c r="F115" s="1">
        <v>1</v>
      </c>
      <c r="G115" s="1">
        <v>112800</v>
      </c>
      <c r="H115" s="1">
        <v>112800</v>
      </c>
      <c r="I115" s="3" t="s">
        <v>3</v>
      </c>
    </row>
    <row r="116" spans="2:9" x14ac:dyDescent="0.25">
      <c r="B116" s="1" t="s">
        <v>0</v>
      </c>
      <c r="C116" s="2">
        <v>46148.394537037035</v>
      </c>
      <c r="D116" s="1" t="s">
        <v>28</v>
      </c>
      <c r="E116" s="1" t="s">
        <v>4</v>
      </c>
      <c r="F116" s="1">
        <v>1</v>
      </c>
      <c r="G116" s="1">
        <v>215100</v>
      </c>
      <c r="H116" s="1">
        <v>215100</v>
      </c>
      <c r="I116" s="3" t="s">
        <v>3</v>
      </c>
    </row>
    <row r="117" spans="2:9" x14ac:dyDescent="0.25">
      <c r="B117" s="1" t="s">
        <v>0</v>
      </c>
      <c r="C117" s="2">
        <v>46148.39675925926</v>
      </c>
      <c r="D117" s="1" t="s">
        <v>29</v>
      </c>
      <c r="E117" s="1" t="s">
        <v>2</v>
      </c>
      <c r="F117" s="1">
        <v>7</v>
      </c>
      <c r="G117" s="1">
        <v>112800</v>
      </c>
      <c r="H117" s="1">
        <v>789600</v>
      </c>
      <c r="I117" s="3" t="s">
        <v>3</v>
      </c>
    </row>
    <row r="118" spans="2:9" x14ac:dyDescent="0.25">
      <c r="B118" s="1" t="s">
        <v>0</v>
      </c>
      <c r="C118" s="2">
        <v>46148.316006944442</v>
      </c>
      <c r="D118" s="1" t="s">
        <v>43</v>
      </c>
      <c r="E118" s="1" t="s">
        <v>4</v>
      </c>
      <c r="F118" s="1">
        <v>5</v>
      </c>
      <c r="G118" s="1">
        <v>215100</v>
      </c>
      <c r="H118" s="1">
        <v>1075500</v>
      </c>
      <c r="I118" s="3" t="s">
        <v>69</v>
      </c>
    </row>
    <row r="119" spans="2:9" x14ac:dyDescent="0.25">
      <c r="B119" s="1" t="s">
        <v>0</v>
      </c>
      <c r="C119" s="2">
        <v>46148.473321759258</v>
      </c>
      <c r="D119" s="1" t="s">
        <v>30</v>
      </c>
      <c r="E119" s="1" t="s">
        <v>4</v>
      </c>
      <c r="F119" s="1">
        <v>1</v>
      </c>
      <c r="G119" s="1">
        <v>215100</v>
      </c>
      <c r="H119" s="1">
        <v>215100</v>
      </c>
      <c r="I119" s="3" t="s">
        <v>3</v>
      </c>
    </row>
    <row r="120" spans="2:9" x14ac:dyDescent="0.25">
      <c r="B120" s="1" t="s">
        <v>0</v>
      </c>
      <c r="C120" s="2">
        <v>46149.314849537041</v>
      </c>
      <c r="D120" s="1" t="s">
        <v>118</v>
      </c>
      <c r="E120" s="1" t="s">
        <v>2</v>
      </c>
      <c r="F120" s="1">
        <v>1</v>
      </c>
      <c r="G120" s="1">
        <v>112800</v>
      </c>
      <c r="H120" s="1">
        <v>112800</v>
      </c>
      <c r="I120" s="3" t="s">
        <v>69</v>
      </c>
    </row>
    <row r="121" spans="2:9" x14ac:dyDescent="0.25">
      <c r="B121" s="1" t="s">
        <v>0</v>
      </c>
      <c r="C121" s="2">
        <v>46149.314849537041</v>
      </c>
      <c r="D121" s="1" t="s">
        <v>118</v>
      </c>
      <c r="E121" s="1" t="s">
        <v>4</v>
      </c>
      <c r="F121" s="1">
        <v>1</v>
      </c>
      <c r="G121" s="1">
        <v>215100</v>
      </c>
      <c r="H121" s="1">
        <v>215100</v>
      </c>
      <c r="I121" s="3" t="s">
        <v>69</v>
      </c>
    </row>
    <row r="122" spans="2:9" x14ac:dyDescent="0.25">
      <c r="B122" s="1" t="s">
        <v>0</v>
      </c>
      <c r="C122" s="2">
        <v>46149.315486111111</v>
      </c>
      <c r="D122" s="1" t="s">
        <v>119</v>
      </c>
      <c r="E122" s="1" t="s">
        <v>4</v>
      </c>
      <c r="F122" s="1">
        <v>1</v>
      </c>
      <c r="G122" s="1">
        <v>215100</v>
      </c>
      <c r="H122" s="1">
        <v>215100</v>
      </c>
      <c r="I122" s="3" t="s">
        <v>69</v>
      </c>
    </row>
    <row r="123" spans="2:9" x14ac:dyDescent="0.25">
      <c r="B123" s="1" t="s">
        <v>0</v>
      </c>
      <c r="C123" s="2">
        <v>46149.318576388891</v>
      </c>
      <c r="D123" s="1" t="s">
        <v>120</v>
      </c>
      <c r="E123" s="1" t="s">
        <v>4</v>
      </c>
      <c r="F123" s="1">
        <v>2</v>
      </c>
      <c r="G123" s="1">
        <v>215100</v>
      </c>
      <c r="H123" s="1">
        <v>430200</v>
      </c>
      <c r="I123" s="3" t="s">
        <v>69</v>
      </c>
    </row>
    <row r="124" spans="2:9" x14ac:dyDescent="0.25">
      <c r="B124" s="1" t="s">
        <v>0</v>
      </c>
      <c r="C124" s="2">
        <v>46149.330474537041</v>
      </c>
      <c r="D124" s="1" t="s">
        <v>121</v>
      </c>
      <c r="E124" s="1" t="s">
        <v>4</v>
      </c>
      <c r="F124" s="1">
        <v>2</v>
      </c>
      <c r="G124" s="1">
        <v>215100</v>
      </c>
      <c r="H124" s="1">
        <v>430200</v>
      </c>
      <c r="I124" s="3" t="s">
        <v>69</v>
      </c>
    </row>
    <row r="125" spans="2:9" x14ac:dyDescent="0.25">
      <c r="B125" s="1" t="s">
        <v>0</v>
      </c>
      <c r="C125" s="2">
        <v>46149.330972222226</v>
      </c>
      <c r="D125" s="1" t="s">
        <v>122</v>
      </c>
      <c r="E125" s="1" t="s">
        <v>4</v>
      </c>
      <c r="F125" s="1">
        <v>2</v>
      </c>
      <c r="G125" s="1">
        <v>215100</v>
      </c>
      <c r="H125" s="1">
        <v>430200</v>
      </c>
      <c r="I125" s="3" t="s">
        <v>69</v>
      </c>
    </row>
    <row r="126" spans="2:9" x14ac:dyDescent="0.25">
      <c r="B126" s="1" t="s">
        <v>0</v>
      </c>
      <c r="C126" s="2">
        <v>46149.331689814811</v>
      </c>
      <c r="D126" s="1" t="s">
        <v>31</v>
      </c>
      <c r="E126" s="1" t="s">
        <v>2</v>
      </c>
      <c r="F126" s="1">
        <v>9</v>
      </c>
      <c r="G126" s="1">
        <v>112800</v>
      </c>
      <c r="H126" s="1">
        <v>1015200</v>
      </c>
      <c r="I126" s="3" t="s">
        <v>3</v>
      </c>
    </row>
    <row r="127" spans="2:9" x14ac:dyDescent="0.25">
      <c r="B127" s="1" t="s">
        <v>0</v>
      </c>
      <c r="C127" s="2">
        <v>46149.331689814811</v>
      </c>
      <c r="D127" s="1" t="s">
        <v>31</v>
      </c>
      <c r="E127" s="1" t="s">
        <v>4</v>
      </c>
      <c r="F127" s="1">
        <v>1</v>
      </c>
      <c r="G127" s="1">
        <v>215100</v>
      </c>
      <c r="H127" s="1">
        <v>215100</v>
      </c>
      <c r="I127" s="3" t="s">
        <v>3</v>
      </c>
    </row>
    <row r="128" spans="2:9" x14ac:dyDescent="0.25">
      <c r="B128" s="1" t="s">
        <v>0</v>
      </c>
      <c r="C128" s="2">
        <v>46149.332662037035</v>
      </c>
      <c r="D128" s="1" t="s">
        <v>123</v>
      </c>
      <c r="E128" s="1" t="s">
        <v>2</v>
      </c>
      <c r="F128" s="1">
        <v>1</v>
      </c>
      <c r="G128" s="1">
        <v>112800</v>
      </c>
      <c r="H128" s="1">
        <v>112800</v>
      </c>
      <c r="I128" s="3" t="s">
        <v>69</v>
      </c>
    </row>
    <row r="129" spans="2:9" x14ac:dyDescent="0.25">
      <c r="B129" s="1" t="s">
        <v>0</v>
      </c>
      <c r="C129" s="2">
        <v>46149.332662037035</v>
      </c>
      <c r="D129" s="1" t="s">
        <v>123</v>
      </c>
      <c r="E129" s="1" t="s">
        <v>4</v>
      </c>
      <c r="F129" s="1">
        <v>1</v>
      </c>
      <c r="G129" s="1">
        <v>215100</v>
      </c>
      <c r="H129" s="1">
        <v>215100</v>
      </c>
      <c r="I129" s="3" t="s">
        <v>69</v>
      </c>
    </row>
    <row r="130" spans="2:9" x14ac:dyDescent="0.25">
      <c r="B130" s="1" t="s">
        <v>0</v>
      </c>
      <c r="C130" s="2">
        <v>46149.333148148151</v>
      </c>
      <c r="D130" s="1" t="s">
        <v>124</v>
      </c>
      <c r="E130" s="1" t="s">
        <v>2</v>
      </c>
      <c r="F130" s="1">
        <v>1</v>
      </c>
      <c r="G130" s="1">
        <v>112800</v>
      </c>
      <c r="H130" s="1">
        <v>112800</v>
      </c>
      <c r="I130" s="3" t="s">
        <v>69</v>
      </c>
    </row>
    <row r="131" spans="2:9" x14ac:dyDescent="0.25">
      <c r="B131" s="1" t="s">
        <v>0</v>
      </c>
      <c r="C131" s="2">
        <v>46149.333148148151</v>
      </c>
      <c r="D131" s="1" t="s">
        <v>124</v>
      </c>
      <c r="E131" s="1" t="s">
        <v>4</v>
      </c>
      <c r="F131" s="1">
        <v>1</v>
      </c>
      <c r="G131" s="1">
        <v>215100</v>
      </c>
      <c r="H131" s="1">
        <v>215100</v>
      </c>
      <c r="I131" s="3" t="s">
        <v>69</v>
      </c>
    </row>
    <row r="132" spans="2:9" x14ac:dyDescent="0.25">
      <c r="B132" s="1" t="s">
        <v>0</v>
      </c>
      <c r="C132" s="2">
        <v>46149.333495370367</v>
      </c>
      <c r="D132" s="1" t="s">
        <v>125</v>
      </c>
      <c r="E132" s="1" t="s">
        <v>4</v>
      </c>
      <c r="F132" s="1">
        <v>1</v>
      </c>
      <c r="G132" s="1">
        <v>215100</v>
      </c>
      <c r="H132" s="1">
        <v>215100</v>
      </c>
      <c r="I132" s="3" t="s">
        <v>69</v>
      </c>
    </row>
    <row r="133" spans="2:9" x14ac:dyDescent="0.25">
      <c r="B133" s="1" t="s">
        <v>0</v>
      </c>
      <c r="C133" s="2">
        <v>46149.334270833337</v>
      </c>
      <c r="D133" s="1" t="s">
        <v>126</v>
      </c>
      <c r="E133" s="1" t="s">
        <v>4</v>
      </c>
      <c r="F133" s="1">
        <v>3</v>
      </c>
      <c r="G133" s="1">
        <v>215100</v>
      </c>
      <c r="H133" s="1">
        <v>645300</v>
      </c>
      <c r="I133" s="3" t="s">
        <v>69</v>
      </c>
    </row>
    <row r="134" spans="2:9" x14ac:dyDescent="0.25">
      <c r="B134" s="1" t="s">
        <v>0</v>
      </c>
      <c r="C134" s="2">
        <v>46149.335138888891</v>
      </c>
      <c r="D134" s="1" t="s">
        <v>127</v>
      </c>
      <c r="E134" s="1" t="s">
        <v>2</v>
      </c>
      <c r="F134" s="1">
        <v>3</v>
      </c>
      <c r="G134" s="1">
        <v>112800</v>
      </c>
      <c r="H134" s="1">
        <v>338400</v>
      </c>
      <c r="I134" s="3" t="s">
        <v>69</v>
      </c>
    </row>
    <row r="135" spans="2:9" x14ac:dyDescent="0.25">
      <c r="B135" s="1" t="s">
        <v>0</v>
      </c>
      <c r="C135" s="2">
        <v>46149.336435185185</v>
      </c>
      <c r="D135" s="1" t="s">
        <v>128</v>
      </c>
      <c r="E135" s="1" t="s">
        <v>2</v>
      </c>
      <c r="F135" s="1">
        <v>1</v>
      </c>
      <c r="G135" s="1">
        <v>112800</v>
      </c>
      <c r="H135" s="1">
        <v>112800</v>
      </c>
      <c r="I135" s="3" t="s">
        <v>69</v>
      </c>
    </row>
    <row r="136" spans="2:9" x14ac:dyDescent="0.25">
      <c r="B136" s="1" t="s">
        <v>0</v>
      </c>
      <c r="C136" s="2">
        <v>46149.336435185185</v>
      </c>
      <c r="D136" s="1" t="s">
        <v>128</v>
      </c>
      <c r="E136" s="1" t="s">
        <v>4</v>
      </c>
      <c r="F136" s="1">
        <v>1</v>
      </c>
      <c r="G136" s="1">
        <v>215100</v>
      </c>
      <c r="H136" s="1">
        <v>215100</v>
      </c>
      <c r="I136" s="3" t="s">
        <v>69</v>
      </c>
    </row>
    <row r="137" spans="2:9" x14ac:dyDescent="0.25">
      <c r="B137" s="1" t="s">
        <v>0</v>
      </c>
      <c r="C137" s="2">
        <v>46149.336898148147</v>
      </c>
      <c r="D137" s="1" t="s">
        <v>129</v>
      </c>
      <c r="E137" s="1" t="s">
        <v>4</v>
      </c>
      <c r="F137" s="1">
        <v>5</v>
      </c>
      <c r="G137" s="1">
        <v>215100</v>
      </c>
      <c r="H137" s="1">
        <v>1075500</v>
      </c>
      <c r="I137" s="3" t="s">
        <v>69</v>
      </c>
    </row>
    <row r="138" spans="2:9" x14ac:dyDescent="0.25">
      <c r="B138" s="1" t="s">
        <v>0</v>
      </c>
      <c r="C138" s="2">
        <v>46149.33734953704</v>
      </c>
      <c r="D138" s="1" t="s">
        <v>32</v>
      </c>
      <c r="E138" s="1" t="s">
        <v>2</v>
      </c>
      <c r="F138" s="1">
        <v>5</v>
      </c>
      <c r="G138" s="1">
        <v>112800</v>
      </c>
      <c r="H138" s="1">
        <v>564000</v>
      </c>
      <c r="I138" s="3" t="s">
        <v>3</v>
      </c>
    </row>
    <row r="139" spans="2:9" x14ac:dyDescent="0.25">
      <c r="B139" s="1" t="s">
        <v>0</v>
      </c>
      <c r="C139" s="2">
        <v>46149.33734953704</v>
      </c>
      <c r="D139" s="1" t="s">
        <v>32</v>
      </c>
      <c r="E139" s="1" t="s">
        <v>4</v>
      </c>
      <c r="F139" s="1">
        <v>5</v>
      </c>
      <c r="G139" s="1">
        <v>215100</v>
      </c>
      <c r="H139" s="1">
        <v>1075500</v>
      </c>
      <c r="I139" s="3" t="s">
        <v>3</v>
      </c>
    </row>
    <row r="140" spans="2:9" x14ac:dyDescent="0.25">
      <c r="B140" s="1" t="s">
        <v>0</v>
      </c>
      <c r="C140" s="2">
        <v>46149.337777777779</v>
      </c>
      <c r="D140" s="1" t="s">
        <v>130</v>
      </c>
      <c r="E140" s="1" t="s">
        <v>4</v>
      </c>
      <c r="F140" s="1">
        <v>2</v>
      </c>
      <c r="G140" s="1">
        <v>215100</v>
      </c>
      <c r="H140" s="1">
        <v>430200</v>
      </c>
      <c r="I140" s="3" t="s">
        <v>69</v>
      </c>
    </row>
    <row r="141" spans="2:9" x14ac:dyDescent="0.25">
      <c r="B141" s="1" t="s">
        <v>0</v>
      </c>
      <c r="C141" s="2">
        <v>46149.338194444441</v>
      </c>
      <c r="D141" s="1" t="s">
        <v>33</v>
      </c>
      <c r="E141" s="1" t="s">
        <v>2</v>
      </c>
      <c r="F141" s="1">
        <v>2</v>
      </c>
      <c r="G141" s="1">
        <v>112800</v>
      </c>
      <c r="H141" s="1">
        <v>225600</v>
      </c>
      <c r="I141" s="3" t="s">
        <v>3</v>
      </c>
    </row>
    <row r="142" spans="2:9" x14ac:dyDescent="0.25">
      <c r="B142" s="1" t="s">
        <v>0</v>
      </c>
      <c r="C142" s="2">
        <v>46149.338194444441</v>
      </c>
      <c r="D142" s="1" t="s">
        <v>33</v>
      </c>
      <c r="E142" s="1" t="s">
        <v>4</v>
      </c>
      <c r="F142" s="1">
        <v>3</v>
      </c>
      <c r="G142" s="1">
        <v>215100</v>
      </c>
      <c r="H142" s="1">
        <v>645300</v>
      </c>
      <c r="I142" s="3" t="s">
        <v>3</v>
      </c>
    </row>
    <row r="143" spans="2:9" x14ac:dyDescent="0.25">
      <c r="B143" s="1" t="s">
        <v>0</v>
      </c>
      <c r="C143" s="2">
        <v>46149.338483796295</v>
      </c>
      <c r="D143" s="1" t="s">
        <v>131</v>
      </c>
      <c r="E143" s="1" t="s">
        <v>4</v>
      </c>
      <c r="F143" s="1">
        <v>2</v>
      </c>
      <c r="G143" s="1">
        <v>215100</v>
      </c>
      <c r="H143" s="1">
        <v>430200</v>
      </c>
      <c r="I143" s="3" t="s">
        <v>69</v>
      </c>
    </row>
    <row r="144" spans="2:9" x14ac:dyDescent="0.25">
      <c r="B144" s="1" t="s">
        <v>0</v>
      </c>
      <c r="C144" s="2">
        <v>46149.339050925926</v>
      </c>
      <c r="D144" s="1" t="s">
        <v>34</v>
      </c>
      <c r="E144" s="1" t="s">
        <v>2</v>
      </c>
      <c r="F144" s="1">
        <v>1</v>
      </c>
      <c r="G144" s="1">
        <v>112800</v>
      </c>
      <c r="H144" s="1">
        <v>112800</v>
      </c>
      <c r="I144" s="3" t="s">
        <v>3</v>
      </c>
    </row>
    <row r="145" spans="2:9" x14ac:dyDescent="0.25">
      <c r="B145" s="1" t="s">
        <v>0</v>
      </c>
      <c r="C145" s="2">
        <v>46149.339050925926</v>
      </c>
      <c r="D145" s="1" t="s">
        <v>34</v>
      </c>
      <c r="E145" s="1" t="s">
        <v>4</v>
      </c>
      <c r="F145" s="1">
        <v>1</v>
      </c>
      <c r="G145" s="1">
        <v>215100</v>
      </c>
      <c r="H145" s="1">
        <v>215100</v>
      </c>
      <c r="I145" s="3" t="s">
        <v>3</v>
      </c>
    </row>
    <row r="146" spans="2:9" x14ac:dyDescent="0.25">
      <c r="B146" s="1" t="s">
        <v>0</v>
      </c>
      <c r="C146" s="2">
        <v>46149.339467592596</v>
      </c>
      <c r="D146" s="1" t="s">
        <v>132</v>
      </c>
      <c r="E146" s="1" t="s">
        <v>2</v>
      </c>
      <c r="F146" s="1">
        <v>1</v>
      </c>
      <c r="G146" s="1">
        <v>112800</v>
      </c>
      <c r="H146" s="1">
        <v>112800</v>
      </c>
      <c r="I146" s="3" t="s">
        <v>69</v>
      </c>
    </row>
    <row r="147" spans="2:9" x14ac:dyDescent="0.25">
      <c r="B147" s="1" t="s">
        <v>0</v>
      </c>
      <c r="C147" s="2">
        <v>46149.339467592596</v>
      </c>
      <c r="D147" s="1" t="s">
        <v>132</v>
      </c>
      <c r="E147" s="1" t="s">
        <v>4</v>
      </c>
      <c r="F147" s="1">
        <v>1</v>
      </c>
      <c r="G147" s="1">
        <v>215100</v>
      </c>
      <c r="H147" s="1">
        <v>215100</v>
      </c>
      <c r="I147" s="3" t="s">
        <v>69</v>
      </c>
    </row>
    <row r="148" spans="2:9" x14ac:dyDescent="0.25">
      <c r="B148" s="1" t="s">
        <v>0</v>
      </c>
      <c r="C148" s="2">
        <v>46149.341909722221</v>
      </c>
      <c r="D148" s="1" t="s">
        <v>35</v>
      </c>
      <c r="E148" s="1" t="s">
        <v>2</v>
      </c>
      <c r="F148" s="1">
        <v>3</v>
      </c>
      <c r="G148" s="1">
        <v>112800</v>
      </c>
      <c r="H148" s="1">
        <v>338400</v>
      </c>
      <c r="I148" s="3" t="s">
        <v>3</v>
      </c>
    </row>
    <row r="149" spans="2:9" x14ac:dyDescent="0.25">
      <c r="B149" s="1" t="s">
        <v>0</v>
      </c>
      <c r="C149" s="2">
        <v>46149.341909722221</v>
      </c>
      <c r="D149" s="1" t="s">
        <v>35</v>
      </c>
      <c r="E149" s="1" t="s">
        <v>4</v>
      </c>
      <c r="F149" s="1">
        <v>2</v>
      </c>
      <c r="G149" s="1">
        <v>215100</v>
      </c>
      <c r="H149" s="1">
        <v>430200</v>
      </c>
      <c r="I149" s="3" t="s">
        <v>3</v>
      </c>
    </row>
    <row r="150" spans="2:9" x14ac:dyDescent="0.25">
      <c r="B150" s="1" t="s">
        <v>0</v>
      </c>
      <c r="C150" s="2">
        <v>46149.998055555552</v>
      </c>
      <c r="D150" s="1" t="s">
        <v>36</v>
      </c>
      <c r="E150" s="1" t="s">
        <v>2</v>
      </c>
      <c r="F150" s="1">
        <v>5</v>
      </c>
      <c r="G150" s="1">
        <v>112800</v>
      </c>
      <c r="H150" s="1">
        <v>564000</v>
      </c>
      <c r="I150" s="3" t="s">
        <v>3</v>
      </c>
    </row>
    <row r="151" spans="2:9" x14ac:dyDescent="0.25">
      <c r="B151" s="1" t="s">
        <v>0</v>
      </c>
      <c r="C151" s="2">
        <v>46149.998055555552</v>
      </c>
      <c r="D151" s="1" t="s">
        <v>36</v>
      </c>
      <c r="E151" s="1" t="s">
        <v>4</v>
      </c>
      <c r="F151" s="1">
        <v>5</v>
      </c>
      <c r="G151" s="1">
        <v>215100</v>
      </c>
      <c r="H151" s="1">
        <v>1075500</v>
      </c>
      <c r="I151" s="3" t="s">
        <v>3</v>
      </c>
    </row>
    <row r="152" spans="2:9" x14ac:dyDescent="0.25">
      <c r="B152" s="1" t="s">
        <v>0</v>
      </c>
      <c r="C152" s="2">
        <v>46150.316550925927</v>
      </c>
      <c r="D152" s="1" t="s">
        <v>133</v>
      </c>
      <c r="E152" s="1" t="s">
        <v>2</v>
      </c>
      <c r="F152" s="1">
        <v>1</v>
      </c>
      <c r="G152" s="1">
        <v>112800</v>
      </c>
      <c r="H152" s="1">
        <v>112800</v>
      </c>
      <c r="I152" s="3" t="s">
        <v>69</v>
      </c>
    </row>
    <row r="153" spans="2:9" x14ac:dyDescent="0.25">
      <c r="B153" s="1" t="s">
        <v>0</v>
      </c>
      <c r="C153" s="2">
        <v>46150.316550925927</v>
      </c>
      <c r="D153" s="1" t="s">
        <v>133</v>
      </c>
      <c r="E153" s="1" t="s">
        <v>4</v>
      </c>
      <c r="F153" s="1">
        <v>1</v>
      </c>
      <c r="G153" s="1">
        <v>215100</v>
      </c>
      <c r="H153" s="1">
        <v>215100</v>
      </c>
      <c r="I153" s="3" t="s">
        <v>69</v>
      </c>
    </row>
    <row r="154" spans="2:9" x14ac:dyDescent="0.25">
      <c r="B154" s="1" t="s">
        <v>0</v>
      </c>
      <c r="C154" s="2">
        <v>46150.31726851852</v>
      </c>
      <c r="D154" s="1" t="s">
        <v>134</v>
      </c>
      <c r="E154" s="1" t="s">
        <v>2</v>
      </c>
      <c r="F154" s="1">
        <v>2</v>
      </c>
      <c r="G154" s="1">
        <v>112800</v>
      </c>
      <c r="H154" s="1">
        <v>225600</v>
      </c>
      <c r="I154" s="3" t="s">
        <v>69</v>
      </c>
    </row>
    <row r="155" spans="2:9" x14ac:dyDescent="0.25">
      <c r="B155" s="1" t="s">
        <v>0</v>
      </c>
      <c r="C155" s="2">
        <v>46150.31726851852</v>
      </c>
      <c r="D155" s="1" t="s">
        <v>134</v>
      </c>
      <c r="E155" s="1" t="s">
        <v>4</v>
      </c>
      <c r="F155" s="1">
        <v>2</v>
      </c>
      <c r="G155" s="1">
        <v>215100</v>
      </c>
      <c r="H155" s="1">
        <v>430200</v>
      </c>
      <c r="I155" s="3" t="s">
        <v>69</v>
      </c>
    </row>
    <row r="156" spans="2:9" x14ac:dyDescent="0.25">
      <c r="B156" s="1" t="s">
        <v>0</v>
      </c>
      <c r="C156" s="2">
        <v>46150.317939814813</v>
      </c>
      <c r="D156" s="1" t="s">
        <v>135</v>
      </c>
      <c r="E156" s="1" t="s">
        <v>4</v>
      </c>
      <c r="F156" s="1">
        <v>2</v>
      </c>
      <c r="G156" s="1">
        <v>215100</v>
      </c>
      <c r="H156" s="1">
        <v>430200</v>
      </c>
      <c r="I156" s="3" t="s">
        <v>69</v>
      </c>
    </row>
    <row r="157" spans="2:9" x14ac:dyDescent="0.25">
      <c r="B157" s="1" t="s">
        <v>0</v>
      </c>
      <c r="C157" s="2">
        <v>46150.318819444445</v>
      </c>
      <c r="D157" s="1" t="s">
        <v>37</v>
      </c>
      <c r="E157" s="1" t="s">
        <v>2</v>
      </c>
      <c r="F157" s="1">
        <v>3</v>
      </c>
      <c r="G157" s="1">
        <v>112800</v>
      </c>
      <c r="H157" s="1">
        <v>338400</v>
      </c>
      <c r="I157" s="3" t="s">
        <v>3</v>
      </c>
    </row>
    <row r="158" spans="2:9" x14ac:dyDescent="0.25">
      <c r="B158" s="1" t="s">
        <v>0</v>
      </c>
      <c r="C158" s="2">
        <v>46150.318819444445</v>
      </c>
      <c r="D158" s="1" t="s">
        <v>37</v>
      </c>
      <c r="E158" s="1" t="s">
        <v>4</v>
      </c>
      <c r="F158" s="1">
        <v>2</v>
      </c>
      <c r="G158" s="1">
        <v>215100</v>
      </c>
      <c r="H158" s="1">
        <v>430200</v>
      </c>
      <c r="I158" s="3" t="s">
        <v>3</v>
      </c>
    </row>
    <row r="159" spans="2:9" x14ac:dyDescent="0.25">
      <c r="B159" s="1" t="s">
        <v>0</v>
      </c>
      <c r="C159" s="2">
        <v>46150.319490740738</v>
      </c>
      <c r="D159" s="1" t="s">
        <v>38</v>
      </c>
      <c r="E159" s="1" t="s">
        <v>4</v>
      </c>
      <c r="F159" s="1">
        <v>1</v>
      </c>
      <c r="G159" s="1">
        <v>215100</v>
      </c>
      <c r="H159" s="1">
        <v>215100</v>
      </c>
      <c r="I159" s="3" t="s">
        <v>3</v>
      </c>
    </row>
    <row r="160" spans="2:9" x14ac:dyDescent="0.25">
      <c r="B160" s="1" t="s">
        <v>0</v>
      </c>
      <c r="C160" s="2">
        <v>46150.319791666669</v>
      </c>
      <c r="D160" s="1" t="s">
        <v>136</v>
      </c>
      <c r="E160" s="1" t="s">
        <v>2</v>
      </c>
      <c r="F160" s="1">
        <v>2</v>
      </c>
      <c r="G160" s="1">
        <v>112800</v>
      </c>
      <c r="H160" s="1">
        <v>225600</v>
      </c>
      <c r="I160" s="3" t="s">
        <v>69</v>
      </c>
    </row>
    <row r="161" spans="2:9" x14ac:dyDescent="0.25">
      <c r="B161" s="1" t="s">
        <v>0</v>
      </c>
      <c r="C161" s="2">
        <v>46150.319791666669</v>
      </c>
      <c r="D161" s="1" t="s">
        <v>136</v>
      </c>
      <c r="E161" s="1" t="s">
        <v>4</v>
      </c>
      <c r="F161" s="1">
        <v>2</v>
      </c>
      <c r="G161" s="1">
        <v>215100</v>
      </c>
      <c r="H161" s="1">
        <v>430200</v>
      </c>
      <c r="I161" s="3" t="s">
        <v>69</v>
      </c>
    </row>
    <row r="162" spans="2:9" x14ac:dyDescent="0.25">
      <c r="B162" s="1" t="s">
        <v>0</v>
      </c>
      <c r="C162" s="2">
        <v>46150.320787037039</v>
      </c>
      <c r="D162" s="1" t="s">
        <v>39</v>
      </c>
      <c r="E162" s="1" t="s">
        <v>4</v>
      </c>
      <c r="F162" s="1">
        <v>2</v>
      </c>
      <c r="G162" s="1">
        <v>215100</v>
      </c>
      <c r="H162" s="1">
        <v>430200</v>
      </c>
      <c r="I162" s="3" t="s">
        <v>3</v>
      </c>
    </row>
    <row r="163" spans="2:9" x14ac:dyDescent="0.25">
      <c r="B163" s="1" t="s">
        <v>0</v>
      </c>
      <c r="C163" s="2">
        <v>46150.321793981479</v>
      </c>
      <c r="D163" s="1" t="s">
        <v>40</v>
      </c>
      <c r="E163" s="1" t="s">
        <v>2</v>
      </c>
      <c r="F163" s="1">
        <v>1</v>
      </c>
      <c r="G163" s="1">
        <v>112800</v>
      </c>
      <c r="H163" s="1">
        <v>112800</v>
      </c>
      <c r="I163" s="3" t="s">
        <v>3</v>
      </c>
    </row>
    <row r="164" spans="2:9" x14ac:dyDescent="0.25">
      <c r="B164" s="1" t="s">
        <v>0</v>
      </c>
      <c r="C164" s="2">
        <v>46150.322430555556</v>
      </c>
      <c r="D164" s="1" t="s">
        <v>137</v>
      </c>
      <c r="E164" s="1" t="s">
        <v>2</v>
      </c>
      <c r="F164" s="1">
        <v>1</v>
      </c>
      <c r="G164" s="1">
        <v>112800</v>
      </c>
      <c r="H164" s="1">
        <v>112800</v>
      </c>
      <c r="I164" s="3" t="s">
        <v>69</v>
      </c>
    </row>
    <row r="165" spans="2:9" x14ac:dyDescent="0.25">
      <c r="B165" s="1" t="s">
        <v>0</v>
      </c>
      <c r="C165" s="2">
        <v>46150.322430555556</v>
      </c>
      <c r="D165" s="1" t="s">
        <v>137</v>
      </c>
      <c r="E165" s="1" t="s">
        <v>4</v>
      </c>
      <c r="F165" s="1">
        <v>3</v>
      </c>
      <c r="G165" s="1">
        <v>215100</v>
      </c>
      <c r="H165" s="1">
        <v>645300</v>
      </c>
      <c r="I165" s="3" t="s">
        <v>69</v>
      </c>
    </row>
    <row r="166" spans="2:9" x14ac:dyDescent="0.25">
      <c r="B166" s="1" t="s">
        <v>0</v>
      </c>
      <c r="C166" s="2">
        <v>46150.323148148149</v>
      </c>
      <c r="D166" s="1" t="s">
        <v>138</v>
      </c>
      <c r="E166" s="1" t="s">
        <v>2</v>
      </c>
      <c r="F166" s="1">
        <v>1</v>
      </c>
      <c r="G166" s="1">
        <v>112800</v>
      </c>
      <c r="H166" s="1">
        <v>112800</v>
      </c>
      <c r="I166" s="3" t="s">
        <v>69</v>
      </c>
    </row>
    <row r="167" spans="2:9" x14ac:dyDescent="0.25">
      <c r="B167" s="1" t="s">
        <v>0</v>
      </c>
      <c r="C167" s="2">
        <v>46150.323148148149</v>
      </c>
      <c r="D167" s="1" t="s">
        <v>138</v>
      </c>
      <c r="E167" s="1" t="s">
        <v>4</v>
      </c>
      <c r="F167" s="1">
        <v>1</v>
      </c>
      <c r="G167" s="1">
        <v>215100</v>
      </c>
      <c r="H167" s="1">
        <v>215100</v>
      </c>
      <c r="I167" s="3" t="s">
        <v>69</v>
      </c>
    </row>
    <row r="168" spans="2:9" x14ac:dyDescent="0.25">
      <c r="B168" s="1" t="s">
        <v>0</v>
      </c>
      <c r="C168" s="2">
        <v>46150.323807870373</v>
      </c>
      <c r="D168" s="1" t="s">
        <v>139</v>
      </c>
      <c r="E168" s="1" t="s">
        <v>4</v>
      </c>
      <c r="F168" s="1">
        <v>2</v>
      </c>
      <c r="G168" s="1">
        <v>215100</v>
      </c>
      <c r="H168" s="1">
        <v>430200</v>
      </c>
      <c r="I168" s="3" t="s">
        <v>69</v>
      </c>
    </row>
    <row r="169" spans="2:9" x14ac:dyDescent="0.25">
      <c r="B169" s="1" t="s">
        <v>0</v>
      </c>
      <c r="C169" s="2">
        <v>46150.324432870373</v>
      </c>
      <c r="D169" s="1" t="s">
        <v>140</v>
      </c>
      <c r="E169" s="1" t="s">
        <v>2</v>
      </c>
      <c r="F169" s="1">
        <v>1</v>
      </c>
      <c r="G169" s="1">
        <v>112800</v>
      </c>
      <c r="H169" s="1">
        <v>112800</v>
      </c>
      <c r="I169" s="3" t="s">
        <v>69</v>
      </c>
    </row>
    <row r="170" spans="2:9" x14ac:dyDescent="0.25">
      <c r="B170" s="1" t="s">
        <v>0</v>
      </c>
      <c r="C170" s="2">
        <v>46150.324432870373</v>
      </c>
      <c r="D170" s="1" t="s">
        <v>140</v>
      </c>
      <c r="E170" s="1" t="s">
        <v>4</v>
      </c>
      <c r="F170" s="1">
        <v>2</v>
      </c>
      <c r="G170" s="1">
        <v>215100</v>
      </c>
      <c r="H170" s="1">
        <v>430200</v>
      </c>
      <c r="I170" s="3" t="s">
        <v>69</v>
      </c>
    </row>
    <row r="171" spans="2:9" x14ac:dyDescent="0.25">
      <c r="B171" s="1" t="s">
        <v>0</v>
      </c>
      <c r="C171" s="2">
        <v>46150.325231481482</v>
      </c>
      <c r="D171" s="1" t="s">
        <v>41</v>
      </c>
      <c r="E171" s="1" t="s">
        <v>4</v>
      </c>
      <c r="F171" s="1">
        <v>5</v>
      </c>
      <c r="G171" s="1">
        <v>215100</v>
      </c>
      <c r="H171" s="1">
        <v>1075500</v>
      </c>
      <c r="I171" s="3" t="s">
        <v>3</v>
      </c>
    </row>
    <row r="172" spans="2:9" x14ac:dyDescent="0.25">
      <c r="B172" s="1" t="s">
        <v>0</v>
      </c>
      <c r="C172" s="2">
        <v>46150.325578703705</v>
      </c>
      <c r="D172" s="1" t="s">
        <v>42</v>
      </c>
      <c r="E172" s="1" t="s">
        <v>2</v>
      </c>
      <c r="F172" s="1">
        <v>5</v>
      </c>
      <c r="G172" s="1">
        <v>112800</v>
      </c>
      <c r="H172" s="1">
        <v>564000</v>
      </c>
      <c r="I172" s="3" t="s">
        <v>3</v>
      </c>
    </row>
    <row r="173" spans="2:9" x14ac:dyDescent="0.25">
      <c r="B173" s="1" t="s">
        <v>0</v>
      </c>
      <c r="C173" s="2">
        <v>46150.326388888891</v>
      </c>
      <c r="D173" s="1" t="s">
        <v>141</v>
      </c>
      <c r="E173" s="1" t="s">
        <v>2</v>
      </c>
      <c r="F173" s="1">
        <v>5</v>
      </c>
      <c r="G173" s="1">
        <v>112800</v>
      </c>
      <c r="H173" s="1">
        <v>564000</v>
      </c>
      <c r="I173" s="3" t="s">
        <v>69</v>
      </c>
    </row>
    <row r="174" spans="2:9" x14ac:dyDescent="0.25">
      <c r="B174" s="1" t="s">
        <v>0</v>
      </c>
      <c r="C174" s="2">
        <v>46150.326388888891</v>
      </c>
      <c r="D174" s="1" t="s">
        <v>141</v>
      </c>
      <c r="E174" s="1" t="s">
        <v>4</v>
      </c>
      <c r="F174" s="1">
        <v>10</v>
      </c>
      <c r="G174" s="1">
        <v>215100</v>
      </c>
      <c r="H174" s="1">
        <v>2151000</v>
      </c>
      <c r="I174" s="3" t="s">
        <v>69</v>
      </c>
    </row>
    <row r="175" spans="2:9" x14ac:dyDescent="0.25">
      <c r="B175" s="1" t="s">
        <v>0</v>
      </c>
      <c r="C175" s="2">
        <v>46150.327048611114</v>
      </c>
      <c r="D175" s="1" t="s">
        <v>7</v>
      </c>
      <c r="E175" s="1" t="s">
        <v>2</v>
      </c>
      <c r="F175" s="1">
        <v>3</v>
      </c>
      <c r="G175" s="1">
        <v>112800</v>
      </c>
      <c r="H175" s="1">
        <v>338400</v>
      </c>
      <c r="I175" s="3" t="s">
        <v>3</v>
      </c>
    </row>
    <row r="176" spans="2:9" x14ac:dyDescent="0.25">
      <c r="B176" s="1" t="s">
        <v>0</v>
      </c>
      <c r="C176" s="2">
        <v>46150.327048611114</v>
      </c>
      <c r="D176" s="1" t="s">
        <v>7</v>
      </c>
      <c r="E176" s="1" t="s">
        <v>4</v>
      </c>
      <c r="F176" s="1">
        <v>2</v>
      </c>
      <c r="G176" s="1">
        <v>215100</v>
      </c>
      <c r="H176" s="1">
        <v>430200</v>
      </c>
      <c r="I176" s="3" t="s">
        <v>3</v>
      </c>
    </row>
    <row r="177" spans="2:9" x14ac:dyDescent="0.25">
      <c r="B177" s="1" t="s">
        <v>0</v>
      </c>
      <c r="C177" s="2">
        <v>46150.314340277779</v>
      </c>
      <c r="D177" s="1" t="s">
        <v>43</v>
      </c>
      <c r="E177" s="1" t="s">
        <v>4</v>
      </c>
      <c r="F177" s="1">
        <v>1</v>
      </c>
      <c r="G177" s="1">
        <v>215100</v>
      </c>
      <c r="H177" s="1">
        <v>215100</v>
      </c>
      <c r="I177" s="3" t="s">
        <v>3</v>
      </c>
    </row>
    <row r="178" spans="2:9" x14ac:dyDescent="0.25">
      <c r="B178" s="1" t="s">
        <v>0</v>
      </c>
      <c r="C178" s="2">
        <v>46150.315243055556</v>
      </c>
      <c r="D178" s="1" t="s">
        <v>25</v>
      </c>
      <c r="E178" s="1" t="s">
        <v>4</v>
      </c>
      <c r="F178" s="1">
        <v>1</v>
      </c>
      <c r="G178" s="1">
        <v>215100</v>
      </c>
      <c r="H178" s="1">
        <v>215100</v>
      </c>
      <c r="I178" s="3" t="s">
        <v>3</v>
      </c>
    </row>
    <row r="179" spans="2:9" x14ac:dyDescent="0.25">
      <c r="B179" s="1" t="s">
        <v>0</v>
      </c>
      <c r="C179" s="2">
        <v>46151.355092592596</v>
      </c>
      <c r="D179" s="1" t="s">
        <v>142</v>
      </c>
      <c r="E179" s="1" t="s">
        <v>2</v>
      </c>
      <c r="F179" s="1">
        <v>2</v>
      </c>
      <c r="G179" s="1">
        <v>112800</v>
      </c>
      <c r="H179" s="1">
        <v>225600</v>
      </c>
      <c r="I179" s="3" t="s">
        <v>69</v>
      </c>
    </row>
    <row r="180" spans="2:9" x14ac:dyDescent="0.25">
      <c r="B180" s="1" t="s">
        <v>0</v>
      </c>
      <c r="C180" s="2">
        <v>46151.355555555558</v>
      </c>
      <c r="D180" s="1" t="s">
        <v>143</v>
      </c>
      <c r="E180" s="1" t="s">
        <v>2</v>
      </c>
      <c r="F180" s="1">
        <v>1</v>
      </c>
      <c r="G180" s="1">
        <v>112800</v>
      </c>
      <c r="H180" s="1">
        <v>112800</v>
      </c>
      <c r="I180" s="3" t="s">
        <v>69</v>
      </c>
    </row>
    <row r="181" spans="2:9" x14ac:dyDescent="0.25">
      <c r="B181" s="1" t="s">
        <v>0</v>
      </c>
      <c r="C181" s="2">
        <v>46151.355555555558</v>
      </c>
      <c r="D181" s="1" t="s">
        <v>143</v>
      </c>
      <c r="E181" s="1" t="s">
        <v>4</v>
      </c>
      <c r="F181" s="1">
        <v>1</v>
      </c>
      <c r="G181" s="1">
        <v>215100</v>
      </c>
      <c r="H181" s="1">
        <v>215100</v>
      </c>
      <c r="I181" s="3" t="s">
        <v>69</v>
      </c>
    </row>
    <row r="182" spans="2:9" x14ac:dyDescent="0.25">
      <c r="B182" s="1" t="s">
        <v>0</v>
      </c>
      <c r="C182" s="2">
        <v>46151.356076388889</v>
      </c>
      <c r="D182" s="1" t="s">
        <v>144</v>
      </c>
      <c r="E182" s="1" t="s">
        <v>4</v>
      </c>
      <c r="F182" s="1">
        <v>1</v>
      </c>
      <c r="G182" s="1">
        <v>215100</v>
      </c>
      <c r="H182" s="1">
        <v>215100</v>
      </c>
      <c r="I182" s="3" t="s">
        <v>69</v>
      </c>
    </row>
    <row r="183" spans="2:9" x14ac:dyDescent="0.25">
      <c r="B183" s="1" t="s">
        <v>0</v>
      </c>
      <c r="C183" s="2">
        <v>46151.356516203705</v>
      </c>
      <c r="D183" s="1" t="s">
        <v>145</v>
      </c>
      <c r="E183" s="1" t="s">
        <v>2</v>
      </c>
      <c r="F183" s="1">
        <v>1</v>
      </c>
      <c r="G183" s="1">
        <v>112800</v>
      </c>
      <c r="H183" s="1">
        <v>112800</v>
      </c>
      <c r="I183" s="3" t="s">
        <v>69</v>
      </c>
    </row>
    <row r="184" spans="2:9" x14ac:dyDescent="0.25">
      <c r="B184" s="1" t="s">
        <v>0</v>
      </c>
      <c r="C184" s="2">
        <v>46151.356932870367</v>
      </c>
      <c r="D184" s="1" t="s">
        <v>146</v>
      </c>
      <c r="E184" s="1" t="s">
        <v>4</v>
      </c>
      <c r="F184" s="1">
        <v>2</v>
      </c>
      <c r="G184" s="1">
        <v>215100</v>
      </c>
      <c r="H184" s="1">
        <v>430200</v>
      </c>
      <c r="I184" s="3" t="s">
        <v>69</v>
      </c>
    </row>
    <row r="185" spans="2:9" x14ac:dyDescent="0.25">
      <c r="B185" s="1" t="s">
        <v>0</v>
      </c>
      <c r="C185" s="2">
        <v>46151.357361111113</v>
      </c>
      <c r="D185" s="1" t="s">
        <v>86</v>
      </c>
      <c r="E185" s="1" t="s">
        <v>2</v>
      </c>
      <c r="F185" s="1">
        <v>1</v>
      </c>
      <c r="G185" s="1">
        <v>112800</v>
      </c>
      <c r="H185" s="1">
        <v>112800</v>
      </c>
      <c r="I185" s="3" t="s">
        <v>69</v>
      </c>
    </row>
    <row r="186" spans="2:9" x14ac:dyDescent="0.25">
      <c r="B186" s="1" t="s">
        <v>0</v>
      </c>
      <c r="C186" s="2">
        <v>46151.357361111113</v>
      </c>
      <c r="D186" s="1" t="s">
        <v>86</v>
      </c>
      <c r="E186" s="1" t="s">
        <v>4</v>
      </c>
      <c r="F186" s="1">
        <v>1</v>
      </c>
      <c r="G186" s="1">
        <v>215100</v>
      </c>
      <c r="H186" s="1">
        <v>215100</v>
      </c>
      <c r="I186" s="3" t="s">
        <v>69</v>
      </c>
    </row>
    <row r="187" spans="2:9" x14ac:dyDescent="0.25">
      <c r="B187" s="1" t="s">
        <v>0</v>
      </c>
      <c r="C187" s="2">
        <v>46151.358148148145</v>
      </c>
      <c r="D187" s="1" t="s">
        <v>147</v>
      </c>
      <c r="E187" s="1" t="s">
        <v>2</v>
      </c>
      <c r="F187" s="1">
        <v>1</v>
      </c>
      <c r="G187" s="1">
        <v>112800</v>
      </c>
      <c r="H187" s="1">
        <v>112800</v>
      </c>
      <c r="I187" s="3" t="s">
        <v>69</v>
      </c>
    </row>
    <row r="188" spans="2:9" x14ac:dyDescent="0.25">
      <c r="B188" s="1" t="s">
        <v>0</v>
      </c>
      <c r="C188" s="2">
        <v>46151.358148148145</v>
      </c>
      <c r="D188" s="1" t="s">
        <v>147</v>
      </c>
      <c r="E188" s="1" t="s">
        <v>4</v>
      </c>
      <c r="F188" s="1">
        <v>1</v>
      </c>
      <c r="G188" s="1">
        <v>215100</v>
      </c>
      <c r="H188" s="1">
        <v>215100</v>
      </c>
      <c r="I188" s="3" t="s">
        <v>69</v>
      </c>
    </row>
    <row r="189" spans="2:9" x14ac:dyDescent="0.25">
      <c r="B189" s="1" t="s">
        <v>0</v>
      </c>
      <c r="C189" s="2">
        <v>46151.358796296299</v>
      </c>
      <c r="D189" s="1" t="s">
        <v>148</v>
      </c>
      <c r="E189" s="1" t="s">
        <v>4</v>
      </c>
      <c r="F189" s="1">
        <v>1</v>
      </c>
      <c r="G189" s="1">
        <v>215100</v>
      </c>
      <c r="H189" s="1">
        <v>215100</v>
      </c>
      <c r="I189" s="3" t="s">
        <v>69</v>
      </c>
    </row>
    <row r="190" spans="2:9" x14ac:dyDescent="0.25">
      <c r="B190" s="1" t="s">
        <v>0</v>
      </c>
      <c r="C190" s="2">
        <v>46153.315682870372</v>
      </c>
      <c r="D190" s="1" t="s">
        <v>44</v>
      </c>
      <c r="E190" s="1" t="s">
        <v>4</v>
      </c>
      <c r="F190" s="1">
        <v>30</v>
      </c>
      <c r="G190" s="1">
        <v>215100</v>
      </c>
      <c r="H190" s="1">
        <v>6453000</v>
      </c>
      <c r="I190" s="3" t="s">
        <v>3</v>
      </c>
    </row>
    <row r="191" spans="2:9" x14ac:dyDescent="0.25">
      <c r="B191" s="1" t="s">
        <v>0</v>
      </c>
      <c r="C191" s="2">
        <v>46153.316180555557</v>
      </c>
      <c r="D191" s="1" t="s">
        <v>149</v>
      </c>
      <c r="E191" s="1" t="s">
        <v>4</v>
      </c>
      <c r="F191" s="1">
        <v>3</v>
      </c>
      <c r="G191" s="1">
        <v>215100</v>
      </c>
      <c r="H191" s="1">
        <v>645300</v>
      </c>
      <c r="I191" s="3" t="s">
        <v>69</v>
      </c>
    </row>
    <row r="192" spans="2:9" x14ac:dyDescent="0.25">
      <c r="B192" s="1" t="s">
        <v>0</v>
      </c>
      <c r="C192" s="2">
        <v>46153.316712962966</v>
      </c>
      <c r="D192" s="1" t="s">
        <v>45</v>
      </c>
      <c r="E192" s="1" t="s">
        <v>4</v>
      </c>
      <c r="F192" s="1">
        <v>5</v>
      </c>
      <c r="G192" s="1">
        <v>215100</v>
      </c>
      <c r="H192" s="1">
        <v>1075500</v>
      </c>
      <c r="I192" s="3" t="s">
        <v>3</v>
      </c>
    </row>
    <row r="193" spans="2:9" x14ac:dyDescent="0.25">
      <c r="B193" s="1" t="s">
        <v>0</v>
      </c>
      <c r="C193" s="2">
        <v>46153.320914351854</v>
      </c>
      <c r="D193" s="1" t="s">
        <v>25</v>
      </c>
      <c r="E193" s="1" t="s">
        <v>4</v>
      </c>
      <c r="F193" s="1">
        <v>1</v>
      </c>
      <c r="G193" s="1">
        <v>215100</v>
      </c>
      <c r="H193" s="1">
        <v>215100</v>
      </c>
      <c r="I193" s="3" t="s">
        <v>69</v>
      </c>
    </row>
    <row r="194" spans="2:9" x14ac:dyDescent="0.25">
      <c r="B194" s="1" t="s">
        <v>0</v>
      </c>
      <c r="C194" s="2">
        <v>46154.318495370368</v>
      </c>
      <c r="D194" s="1" t="s">
        <v>87</v>
      </c>
      <c r="E194" s="1" t="s">
        <v>2</v>
      </c>
      <c r="F194" s="1">
        <v>10</v>
      </c>
      <c r="G194" s="1">
        <v>112800</v>
      </c>
      <c r="H194" s="1">
        <v>1128000</v>
      </c>
      <c r="I194" s="3" t="s">
        <v>69</v>
      </c>
    </row>
    <row r="195" spans="2:9" x14ac:dyDescent="0.25">
      <c r="B195" s="1" t="s">
        <v>0</v>
      </c>
      <c r="C195" s="2">
        <v>46154.318495370368</v>
      </c>
      <c r="D195" s="1" t="s">
        <v>87</v>
      </c>
      <c r="E195" s="1" t="s">
        <v>4</v>
      </c>
      <c r="F195" s="1">
        <v>10</v>
      </c>
      <c r="G195" s="1">
        <v>215100</v>
      </c>
      <c r="H195" s="1">
        <v>2151000</v>
      </c>
      <c r="I195" s="3" t="s">
        <v>69</v>
      </c>
    </row>
    <row r="196" spans="2:9" x14ac:dyDescent="0.25">
      <c r="B196" s="1" t="s">
        <v>0</v>
      </c>
      <c r="C196" s="2">
        <v>46154.319421296299</v>
      </c>
      <c r="D196" s="1" t="s">
        <v>46</v>
      </c>
      <c r="E196" s="1" t="s">
        <v>2</v>
      </c>
      <c r="F196" s="1">
        <v>5</v>
      </c>
      <c r="G196" s="1">
        <v>112800</v>
      </c>
      <c r="H196" s="1">
        <v>564000</v>
      </c>
      <c r="I196" s="3" t="s">
        <v>3</v>
      </c>
    </row>
    <row r="197" spans="2:9" x14ac:dyDescent="0.25">
      <c r="B197" s="1" t="s">
        <v>0</v>
      </c>
      <c r="C197" s="2">
        <v>46154.319421296299</v>
      </c>
      <c r="D197" s="1" t="s">
        <v>46</v>
      </c>
      <c r="E197" s="1" t="s">
        <v>4</v>
      </c>
      <c r="F197" s="1">
        <v>5</v>
      </c>
      <c r="G197" s="1">
        <v>215100</v>
      </c>
      <c r="H197" s="1">
        <v>1075500</v>
      </c>
      <c r="I197" s="3" t="s">
        <v>3</v>
      </c>
    </row>
    <row r="198" spans="2:9" x14ac:dyDescent="0.25">
      <c r="B198" s="1" t="s">
        <v>0</v>
      </c>
      <c r="C198" s="2">
        <v>46154.319907407407</v>
      </c>
      <c r="D198" s="1" t="s">
        <v>150</v>
      </c>
      <c r="E198" s="1" t="s">
        <v>4</v>
      </c>
      <c r="F198" s="1">
        <v>2</v>
      </c>
      <c r="G198" s="1">
        <v>215100</v>
      </c>
      <c r="H198" s="1">
        <v>430200</v>
      </c>
      <c r="I198" s="3" t="s">
        <v>69</v>
      </c>
    </row>
    <row r="199" spans="2:9" x14ac:dyDescent="0.25">
      <c r="B199" s="1" t="s">
        <v>0</v>
      </c>
      <c r="C199" s="2">
        <v>46154.32099537037</v>
      </c>
      <c r="D199" s="1" t="s">
        <v>151</v>
      </c>
      <c r="E199" s="1" t="s">
        <v>2</v>
      </c>
      <c r="F199" s="1">
        <v>1</v>
      </c>
      <c r="G199" s="1">
        <v>112800</v>
      </c>
      <c r="H199" s="1">
        <v>112800</v>
      </c>
      <c r="I199" s="3" t="s">
        <v>69</v>
      </c>
    </row>
    <row r="200" spans="2:9" x14ac:dyDescent="0.25">
      <c r="B200" s="1" t="s">
        <v>0</v>
      </c>
      <c r="C200" s="2">
        <v>46154.32099537037</v>
      </c>
      <c r="D200" s="1" t="s">
        <v>151</v>
      </c>
      <c r="E200" s="1" t="s">
        <v>4</v>
      </c>
      <c r="F200" s="1">
        <v>1</v>
      </c>
      <c r="G200" s="1">
        <v>215100</v>
      </c>
      <c r="H200" s="1">
        <v>215100</v>
      </c>
      <c r="I200" s="3" t="s">
        <v>69</v>
      </c>
    </row>
    <row r="201" spans="2:9" x14ac:dyDescent="0.25">
      <c r="B201" s="1" t="s">
        <v>0</v>
      </c>
      <c r="C201" s="2">
        <v>46154.324050925927</v>
      </c>
      <c r="D201" s="1" t="s">
        <v>47</v>
      </c>
      <c r="E201" s="1" t="s">
        <v>4</v>
      </c>
      <c r="F201" s="1">
        <v>5</v>
      </c>
      <c r="G201" s="1">
        <v>215100</v>
      </c>
      <c r="H201" s="1">
        <v>1075500</v>
      </c>
      <c r="I201" s="3" t="s">
        <v>3</v>
      </c>
    </row>
    <row r="202" spans="2:9" x14ac:dyDescent="0.25">
      <c r="B202" s="1" t="s">
        <v>0</v>
      </c>
      <c r="C202" s="2">
        <v>46154.323206018518</v>
      </c>
      <c r="D202" s="1" t="s">
        <v>152</v>
      </c>
      <c r="E202" s="1" t="s">
        <v>4</v>
      </c>
      <c r="F202" s="1">
        <v>2</v>
      </c>
      <c r="G202" s="1">
        <v>215100</v>
      </c>
      <c r="H202" s="1">
        <v>430200</v>
      </c>
      <c r="I202" s="3" t="s">
        <v>69</v>
      </c>
    </row>
    <row r="203" spans="2:9" x14ac:dyDescent="0.25">
      <c r="B203" s="1" t="s">
        <v>0</v>
      </c>
      <c r="C203" s="2">
        <v>46154.327766203707</v>
      </c>
      <c r="D203" s="1" t="s">
        <v>153</v>
      </c>
      <c r="E203" s="1" t="s">
        <v>2</v>
      </c>
      <c r="F203" s="1">
        <v>1</v>
      </c>
      <c r="G203" s="1">
        <v>112800</v>
      </c>
      <c r="H203" s="1">
        <v>112800</v>
      </c>
      <c r="I203" s="3" t="s">
        <v>69</v>
      </c>
    </row>
    <row r="204" spans="2:9" x14ac:dyDescent="0.25">
      <c r="B204" s="1" t="s">
        <v>0</v>
      </c>
      <c r="C204" s="2">
        <v>46154.327766203707</v>
      </c>
      <c r="D204" s="1" t="s">
        <v>153</v>
      </c>
      <c r="E204" s="1" t="s">
        <v>4</v>
      </c>
      <c r="F204" s="1">
        <v>1</v>
      </c>
      <c r="G204" s="1">
        <v>215100</v>
      </c>
      <c r="H204" s="1">
        <v>215100</v>
      </c>
      <c r="I204" s="3" t="s">
        <v>69</v>
      </c>
    </row>
    <row r="205" spans="2:9" x14ac:dyDescent="0.25">
      <c r="B205" s="1" t="s">
        <v>0</v>
      </c>
      <c r="C205" s="2">
        <v>46154.350775462961</v>
      </c>
      <c r="D205" s="1" t="s">
        <v>154</v>
      </c>
      <c r="E205" s="1" t="s">
        <v>4</v>
      </c>
      <c r="F205" s="1">
        <v>3</v>
      </c>
      <c r="G205" s="1">
        <v>215100</v>
      </c>
      <c r="H205" s="1">
        <v>645300</v>
      </c>
      <c r="I205" s="3" t="s">
        <v>69</v>
      </c>
    </row>
    <row r="206" spans="2:9" x14ac:dyDescent="0.25">
      <c r="B206" s="1" t="s">
        <v>0</v>
      </c>
      <c r="C206" s="2">
        <v>46154.350775462961</v>
      </c>
      <c r="D206" s="1" t="s">
        <v>154</v>
      </c>
      <c r="E206" s="1" t="s">
        <v>2</v>
      </c>
      <c r="F206" s="1">
        <v>3</v>
      </c>
      <c r="G206" s="1">
        <v>112800</v>
      </c>
      <c r="H206" s="1">
        <v>338400</v>
      </c>
      <c r="I206" s="3" t="s">
        <v>69</v>
      </c>
    </row>
    <row r="207" spans="2:9" x14ac:dyDescent="0.25">
      <c r="B207" s="1" t="s">
        <v>0</v>
      </c>
      <c r="C207" s="2">
        <v>46154.32916666667</v>
      </c>
      <c r="D207" s="1" t="s">
        <v>155</v>
      </c>
      <c r="E207" s="1" t="s">
        <v>2</v>
      </c>
      <c r="F207" s="1">
        <v>2</v>
      </c>
      <c r="G207" s="1">
        <v>112800</v>
      </c>
      <c r="H207" s="1">
        <v>225600</v>
      </c>
      <c r="I207" s="3" t="s">
        <v>69</v>
      </c>
    </row>
    <row r="208" spans="2:9" x14ac:dyDescent="0.25">
      <c r="B208" s="1" t="s">
        <v>0</v>
      </c>
      <c r="C208" s="2">
        <v>46154.32916666667</v>
      </c>
      <c r="D208" s="1" t="s">
        <v>155</v>
      </c>
      <c r="E208" s="1" t="s">
        <v>4</v>
      </c>
      <c r="F208" s="1">
        <v>1</v>
      </c>
      <c r="G208" s="1">
        <v>215100</v>
      </c>
      <c r="H208" s="1">
        <v>215100</v>
      </c>
      <c r="I208" s="3" t="s">
        <v>69</v>
      </c>
    </row>
    <row r="209" spans="2:9" x14ac:dyDescent="0.25">
      <c r="B209" s="1" t="s">
        <v>0</v>
      </c>
      <c r="C209" s="2">
        <v>46154.329733796294</v>
      </c>
      <c r="D209" s="1" t="s">
        <v>156</v>
      </c>
      <c r="E209" s="1" t="s">
        <v>4</v>
      </c>
      <c r="F209" s="1">
        <v>3</v>
      </c>
      <c r="G209" s="1">
        <v>215100</v>
      </c>
      <c r="H209" s="1">
        <v>645300</v>
      </c>
      <c r="I209" s="3" t="s">
        <v>69</v>
      </c>
    </row>
    <row r="210" spans="2:9" x14ac:dyDescent="0.25">
      <c r="B210" s="1" t="s">
        <v>0</v>
      </c>
      <c r="C210" s="2">
        <v>46154.330381944441</v>
      </c>
      <c r="D210" s="1" t="s">
        <v>157</v>
      </c>
      <c r="E210" s="1" t="s">
        <v>2</v>
      </c>
      <c r="F210" s="1">
        <v>1</v>
      </c>
      <c r="G210" s="1">
        <v>112800</v>
      </c>
      <c r="H210" s="1">
        <v>112800</v>
      </c>
      <c r="I210" s="3" t="s">
        <v>69</v>
      </c>
    </row>
    <row r="211" spans="2:9" x14ac:dyDescent="0.25">
      <c r="B211" s="1" t="s">
        <v>0</v>
      </c>
      <c r="C211" s="2">
        <v>46155.339189814818</v>
      </c>
      <c r="D211" s="1" t="s">
        <v>158</v>
      </c>
      <c r="E211" s="1" t="s">
        <v>2</v>
      </c>
      <c r="F211" s="1">
        <v>1</v>
      </c>
      <c r="G211" s="1">
        <v>113600</v>
      </c>
      <c r="H211" s="1">
        <v>113600</v>
      </c>
      <c r="I211" s="3" t="s">
        <v>69</v>
      </c>
    </row>
    <row r="212" spans="2:9" x14ac:dyDescent="0.25">
      <c r="B212" s="1" t="s">
        <v>0</v>
      </c>
      <c r="C212" s="2">
        <v>46155.339942129627</v>
      </c>
      <c r="D212" s="1" t="s">
        <v>159</v>
      </c>
      <c r="E212" s="1" t="s">
        <v>2</v>
      </c>
      <c r="F212" s="1">
        <v>1</v>
      </c>
      <c r="G212" s="1">
        <v>113600</v>
      </c>
      <c r="H212" s="1">
        <v>113600</v>
      </c>
      <c r="I212" s="3" t="s">
        <v>69</v>
      </c>
    </row>
    <row r="213" spans="2:9" x14ac:dyDescent="0.25">
      <c r="B213" s="1" t="s">
        <v>0</v>
      </c>
      <c r="C213" s="2">
        <v>46155.339942129627</v>
      </c>
      <c r="D213" s="1" t="s">
        <v>159</v>
      </c>
      <c r="E213" s="1" t="s">
        <v>4</v>
      </c>
      <c r="F213" s="1">
        <v>1</v>
      </c>
      <c r="G213" s="1">
        <v>215100</v>
      </c>
      <c r="H213" s="1">
        <v>215100</v>
      </c>
      <c r="I213" s="3" t="s">
        <v>69</v>
      </c>
    </row>
    <row r="214" spans="2:9" x14ac:dyDescent="0.25">
      <c r="B214" s="1" t="s">
        <v>0</v>
      </c>
      <c r="C214" s="2">
        <v>46155.34039351852</v>
      </c>
      <c r="D214" s="1" t="s">
        <v>160</v>
      </c>
      <c r="E214" s="1" t="s">
        <v>4</v>
      </c>
      <c r="F214" s="1">
        <v>2</v>
      </c>
      <c r="G214" s="1">
        <v>215100</v>
      </c>
      <c r="H214" s="1">
        <v>430200</v>
      </c>
      <c r="I214" s="3" t="s">
        <v>69</v>
      </c>
    </row>
    <row r="215" spans="2:9" x14ac:dyDescent="0.25">
      <c r="B215" s="1" t="s">
        <v>0</v>
      </c>
      <c r="C215" s="2">
        <v>46155.340833333335</v>
      </c>
      <c r="D215" s="1" t="s">
        <v>161</v>
      </c>
      <c r="E215" s="1" t="s">
        <v>4</v>
      </c>
      <c r="F215" s="1">
        <v>1</v>
      </c>
      <c r="G215" s="1">
        <v>215100</v>
      </c>
      <c r="H215" s="1">
        <v>215100</v>
      </c>
      <c r="I215" s="3" t="s">
        <v>69</v>
      </c>
    </row>
    <row r="216" spans="2:9" x14ac:dyDescent="0.25">
      <c r="B216" s="1" t="s">
        <v>0</v>
      </c>
      <c r="C216" s="2">
        <v>46155.341770833336</v>
      </c>
      <c r="D216" s="1" t="s">
        <v>162</v>
      </c>
      <c r="E216" s="1" t="s">
        <v>4</v>
      </c>
      <c r="F216" s="1">
        <v>1</v>
      </c>
      <c r="G216" s="1">
        <v>215100</v>
      </c>
      <c r="H216" s="1">
        <v>215100</v>
      </c>
      <c r="I216" s="3" t="s">
        <v>69</v>
      </c>
    </row>
    <row r="217" spans="2:9" x14ac:dyDescent="0.25">
      <c r="B217" s="1" t="s">
        <v>0</v>
      </c>
      <c r="C217" s="2">
        <v>46155.342986111114</v>
      </c>
      <c r="D217" s="1" t="s">
        <v>163</v>
      </c>
      <c r="E217" s="1" t="s">
        <v>2</v>
      </c>
      <c r="F217" s="1">
        <v>2</v>
      </c>
      <c r="G217" s="1">
        <v>113600</v>
      </c>
      <c r="H217" s="1">
        <v>227200</v>
      </c>
      <c r="I217" s="3" t="s">
        <v>69</v>
      </c>
    </row>
    <row r="218" spans="2:9" x14ac:dyDescent="0.25">
      <c r="B218" s="1" t="s">
        <v>0</v>
      </c>
      <c r="C218" s="2">
        <v>46155.342986111114</v>
      </c>
      <c r="D218" s="1" t="s">
        <v>163</v>
      </c>
      <c r="E218" s="1" t="s">
        <v>4</v>
      </c>
      <c r="F218" s="1">
        <v>5</v>
      </c>
      <c r="G218" s="1">
        <v>215100</v>
      </c>
      <c r="H218" s="1">
        <v>1075500</v>
      </c>
      <c r="I218" s="3" t="s">
        <v>69</v>
      </c>
    </row>
    <row r="219" spans="2:9" x14ac:dyDescent="0.25">
      <c r="B219" s="1" t="s">
        <v>0</v>
      </c>
      <c r="C219" s="2">
        <v>46155.344351851854</v>
      </c>
      <c r="D219" s="1" t="s">
        <v>164</v>
      </c>
      <c r="E219" s="1" t="s">
        <v>4</v>
      </c>
      <c r="F219" s="1">
        <v>4</v>
      </c>
      <c r="G219" s="1">
        <v>215100</v>
      </c>
      <c r="H219" s="1">
        <v>860400</v>
      </c>
      <c r="I219" s="3" t="s">
        <v>69</v>
      </c>
    </row>
    <row r="220" spans="2:9" x14ac:dyDescent="0.25">
      <c r="B220" s="1" t="s">
        <v>0</v>
      </c>
      <c r="C220" s="2">
        <v>46155.345868055556</v>
      </c>
      <c r="D220" s="1" t="s">
        <v>165</v>
      </c>
      <c r="E220" s="1" t="s">
        <v>2</v>
      </c>
      <c r="F220" s="1">
        <v>2</v>
      </c>
      <c r="G220" s="1">
        <v>113600</v>
      </c>
      <c r="H220" s="1">
        <v>227200</v>
      </c>
      <c r="I220" s="3" t="s">
        <v>69</v>
      </c>
    </row>
    <row r="221" spans="2:9" x14ac:dyDescent="0.25">
      <c r="B221" s="1" t="s">
        <v>0</v>
      </c>
      <c r="C221" s="2">
        <v>46155.345868055556</v>
      </c>
      <c r="D221" s="1" t="s">
        <v>165</v>
      </c>
      <c r="E221" s="1" t="s">
        <v>4</v>
      </c>
      <c r="F221" s="1">
        <v>5</v>
      </c>
      <c r="G221" s="1">
        <v>215100</v>
      </c>
      <c r="H221" s="1">
        <v>1075500</v>
      </c>
      <c r="I221" s="3" t="s">
        <v>69</v>
      </c>
    </row>
    <row r="222" spans="2:9" x14ac:dyDescent="0.25">
      <c r="B222" s="1" t="s">
        <v>0</v>
      </c>
      <c r="C222" s="2">
        <v>46155.346388888887</v>
      </c>
      <c r="D222" s="1" t="s">
        <v>166</v>
      </c>
      <c r="E222" s="1" t="s">
        <v>4</v>
      </c>
      <c r="F222" s="1">
        <v>3</v>
      </c>
      <c r="G222" s="1">
        <v>215100</v>
      </c>
      <c r="H222" s="1">
        <v>645300</v>
      </c>
      <c r="I222" s="3" t="s">
        <v>69</v>
      </c>
    </row>
    <row r="223" spans="2:9" x14ac:dyDescent="0.25">
      <c r="B223" s="1" t="s">
        <v>0</v>
      </c>
      <c r="C223" s="2">
        <v>46155.346875000003</v>
      </c>
      <c r="D223" s="1" t="s">
        <v>167</v>
      </c>
      <c r="E223" s="1" t="s">
        <v>4</v>
      </c>
      <c r="F223" s="1">
        <v>2</v>
      </c>
      <c r="G223" s="1">
        <v>215100</v>
      </c>
      <c r="H223" s="1">
        <v>430200</v>
      </c>
      <c r="I223" s="3" t="s">
        <v>69</v>
      </c>
    </row>
    <row r="224" spans="2:9" x14ac:dyDescent="0.25">
      <c r="B224" s="1" t="s">
        <v>0</v>
      </c>
      <c r="C224" s="2">
        <v>46156.319016203706</v>
      </c>
      <c r="D224" s="1" t="s">
        <v>168</v>
      </c>
      <c r="E224" s="1" t="s">
        <v>4</v>
      </c>
      <c r="F224" s="1">
        <v>1</v>
      </c>
      <c r="G224" s="1">
        <v>215100</v>
      </c>
      <c r="H224" s="1">
        <v>215100</v>
      </c>
      <c r="I224" s="3" t="s">
        <v>69</v>
      </c>
    </row>
    <row r="225" spans="2:9" x14ac:dyDescent="0.25">
      <c r="B225" s="1" t="s">
        <v>0</v>
      </c>
      <c r="C225" s="2">
        <v>46155.575532407405</v>
      </c>
      <c r="D225" s="1" t="s">
        <v>169</v>
      </c>
      <c r="E225" s="1" t="s">
        <v>2</v>
      </c>
      <c r="F225" s="1">
        <v>1</v>
      </c>
      <c r="G225" s="1">
        <v>113600</v>
      </c>
      <c r="H225" s="1">
        <v>113600</v>
      </c>
      <c r="I225" s="3" t="s">
        <v>69</v>
      </c>
    </row>
    <row r="226" spans="2:9" x14ac:dyDescent="0.25">
      <c r="B226" s="1" t="s">
        <v>0</v>
      </c>
      <c r="C226" s="2">
        <v>46156.319849537038</v>
      </c>
      <c r="D226" s="1" t="s">
        <v>170</v>
      </c>
      <c r="E226" s="1" t="s">
        <v>2</v>
      </c>
      <c r="F226" s="1">
        <v>1</v>
      </c>
      <c r="G226" s="1">
        <v>113600</v>
      </c>
      <c r="H226" s="1">
        <v>113600</v>
      </c>
      <c r="I226" s="3" t="s">
        <v>69</v>
      </c>
    </row>
    <row r="227" spans="2:9" x14ac:dyDescent="0.25">
      <c r="B227" s="1" t="s">
        <v>0</v>
      </c>
      <c r="C227" s="2">
        <v>46156.319849537038</v>
      </c>
      <c r="D227" s="1" t="s">
        <v>170</v>
      </c>
      <c r="E227" s="1" t="s">
        <v>4</v>
      </c>
      <c r="F227" s="1">
        <v>1</v>
      </c>
      <c r="G227" s="1">
        <v>215100</v>
      </c>
      <c r="H227" s="1">
        <v>215100</v>
      </c>
      <c r="I227" s="3" t="s">
        <v>69</v>
      </c>
    </row>
    <row r="228" spans="2:9" x14ac:dyDescent="0.25">
      <c r="B228" s="1" t="s">
        <v>0</v>
      </c>
      <c r="C228" s="2">
        <v>46156.320613425924</v>
      </c>
      <c r="D228" s="1" t="s">
        <v>48</v>
      </c>
      <c r="E228" s="1" t="s">
        <v>4</v>
      </c>
      <c r="F228" s="1">
        <v>1</v>
      </c>
      <c r="G228" s="1">
        <v>215100</v>
      </c>
      <c r="H228" s="1">
        <v>215100</v>
      </c>
      <c r="I228" s="3" t="s">
        <v>3</v>
      </c>
    </row>
    <row r="229" spans="2:9" x14ac:dyDescent="0.25">
      <c r="B229" s="1" t="s">
        <v>0</v>
      </c>
      <c r="C229" s="2">
        <v>46156.333460648151</v>
      </c>
      <c r="D229" s="1" t="s">
        <v>171</v>
      </c>
      <c r="E229" s="1" t="s">
        <v>4</v>
      </c>
      <c r="F229" s="1">
        <v>2</v>
      </c>
      <c r="G229" s="1">
        <v>215100</v>
      </c>
      <c r="H229" s="1">
        <v>430200</v>
      </c>
      <c r="I229" s="3" t="s">
        <v>69</v>
      </c>
    </row>
    <row r="230" spans="2:9" x14ac:dyDescent="0.25">
      <c r="B230" s="1" t="s">
        <v>0</v>
      </c>
      <c r="C230" s="2">
        <v>46156.336631944447</v>
      </c>
      <c r="D230" s="1" t="s">
        <v>49</v>
      </c>
      <c r="E230" s="1" t="s">
        <v>2</v>
      </c>
      <c r="F230" s="1">
        <v>5</v>
      </c>
      <c r="G230" s="1">
        <v>113600</v>
      </c>
      <c r="H230" s="1">
        <v>568000</v>
      </c>
      <c r="I230" s="3" t="s">
        <v>3</v>
      </c>
    </row>
    <row r="231" spans="2:9" x14ac:dyDescent="0.25">
      <c r="B231" s="1" t="s">
        <v>0</v>
      </c>
      <c r="C231" s="2">
        <v>46156.335011574076</v>
      </c>
      <c r="D231" s="1" t="s">
        <v>50</v>
      </c>
      <c r="E231" s="1" t="s">
        <v>2</v>
      </c>
      <c r="F231" s="1">
        <v>1</v>
      </c>
      <c r="G231" s="1">
        <v>113600</v>
      </c>
      <c r="H231" s="1">
        <v>113600</v>
      </c>
      <c r="I231" s="3" t="s">
        <v>3</v>
      </c>
    </row>
    <row r="232" spans="2:9" x14ac:dyDescent="0.25">
      <c r="B232" s="1" t="s">
        <v>0</v>
      </c>
      <c r="C232" s="2">
        <v>46156.335011574076</v>
      </c>
      <c r="D232" s="1" t="s">
        <v>50</v>
      </c>
      <c r="E232" s="1" t="s">
        <v>4</v>
      </c>
      <c r="F232" s="1">
        <v>4</v>
      </c>
      <c r="G232" s="1">
        <v>215100</v>
      </c>
      <c r="H232" s="1">
        <v>860400</v>
      </c>
      <c r="I232" s="3" t="s">
        <v>3</v>
      </c>
    </row>
    <row r="233" spans="2:9" x14ac:dyDescent="0.25">
      <c r="B233" s="1" t="s">
        <v>0</v>
      </c>
      <c r="C233" s="2">
        <v>46156.337523148148</v>
      </c>
      <c r="D233" s="1" t="s">
        <v>172</v>
      </c>
      <c r="E233" s="1" t="s">
        <v>4</v>
      </c>
      <c r="F233" s="1">
        <v>3</v>
      </c>
      <c r="G233" s="1">
        <v>215100</v>
      </c>
      <c r="H233" s="1">
        <v>645300</v>
      </c>
      <c r="I233" s="3" t="s">
        <v>69</v>
      </c>
    </row>
    <row r="234" spans="2:9" x14ac:dyDescent="0.25">
      <c r="B234" s="1" t="s">
        <v>0</v>
      </c>
      <c r="C234" s="2">
        <v>46156.379236111112</v>
      </c>
      <c r="D234" s="1" t="s">
        <v>51</v>
      </c>
      <c r="E234" s="1" t="s">
        <v>2</v>
      </c>
      <c r="F234" s="1">
        <v>5</v>
      </c>
      <c r="G234" s="1">
        <v>113600</v>
      </c>
      <c r="H234" s="1">
        <v>568000</v>
      </c>
      <c r="I234" s="3" t="s">
        <v>3</v>
      </c>
    </row>
    <row r="235" spans="2:9" x14ac:dyDescent="0.25">
      <c r="B235" s="1" t="s">
        <v>0</v>
      </c>
      <c r="C235" s="2">
        <v>46156.379236111112</v>
      </c>
      <c r="D235" s="1" t="s">
        <v>51</v>
      </c>
      <c r="E235" s="1" t="s">
        <v>4</v>
      </c>
      <c r="F235" s="1">
        <v>10</v>
      </c>
      <c r="G235" s="1">
        <v>215100</v>
      </c>
      <c r="H235" s="1">
        <v>2151000</v>
      </c>
      <c r="I235" s="3" t="s">
        <v>3</v>
      </c>
    </row>
    <row r="236" spans="2:9" x14ac:dyDescent="0.25">
      <c r="B236" s="1" t="s">
        <v>0</v>
      </c>
      <c r="C236" s="2">
        <v>46157.340532407405</v>
      </c>
      <c r="D236" s="1" t="s">
        <v>78</v>
      </c>
      <c r="E236" s="1" t="s">
        <v>4</v>
      </c>
      <c r="F236" s="1">
        <v>5</v>
      </c>
      <c r="G236" s="1">
        <v>215100</v>
      </c>
      <c r="H236" s="1">
        <v>1075500</v>
      </c>
      <c r="I236" s="3" t="s">
        <v>69</v>
      </c>
    </row>
    <row r="237" spans="2:9" x14ac:dyDescent="0.25">
      <c r="B237" s="1" t="s">
        <v>0</v>
      </c>
      <c r="C237" s="2">
        <v>46157.341331018521</v>
      </c>
      <c r="D237" s="1" t="s">
        <v>77</v>
      </c>
      <c r="E237" s="1" t="s">
        <v>4</v>
      </c>
      <c r="F237" s="1">
        <v>1</v>
      </c>
      <c r="G237" s="1">
        <v>215100</v>
      </c>
      <c r="H237" s="1">
        <v>215100</v>
      </c>
      <c r="I237" s="3" t="s">
        <v>69</v>
      </c>
    </row>
    <row r="238" spans="2:9" x14ac:dyDescent="0.25">
      <c r="B238" s="1" t="s">
        <v>0</v>
      </c>
      <c r="C238" s="2">
        <v>46157.342037037037</v>
      </c>
      <c r="D238" s="1" t="s">
        <v>76</v>
      </c>
      <c r="E238" s="1" t="s">
        <v>4</v>
      </c>
      <c r="F238" s="1">
        <v>1</v>
      </c>
      <c r="G238" s="1">
        <v>215100</v>
      </c>
      <c r="H238" s="1">
        <v>215100</v>
      </c>
      <c r="I238" s="3" t="s">
        <v>69</v>
      </c>
    </row>
    <row r="239" spans="2:9" x14ac:dyDescent="0.25">
      <c r="B239" s="1" t="s">
        <v>0</v>
      </c>
      <c r="C239" s="2">
        <v>46157.34269675926</v>
      </c>
      <c r="D239" s="1" t="s">
        <v>74</v>
      </c>
      <c r="E239" s="1" t="s">
        <v>4</v>
      </c>
      <c r="F239" s="1">
        <v>3</v>
      </c>
      <c r="G239" s="1">
        <v>215100</v>
      </c>
      <c r="H239" s="1">
        <v>645300</v>
      </c>
      <c r="I239" s="3" t="s">
        <v>69</v>
      </c>
    </row>
    <row r="240" spans="2:9" x14ac:dyDescent="0.25">
      <c r="B240" s="1" t="s">
        <v>0</v>
      </c>
      <c r="C240" s="2">
        <v>46157.343541666669</v>
      </c>
      <c r="D240" s="1" t="s">
        <v>52</v>
      </c>
      <c r="E240" s="1" t="s">
        <v>4</v>
      </c>
      <c r="F240" s="1">
        <v>5</v>
      </c>
      <c r="G240" s="1">
        <v>215100</v>
      </c>
      <c r="H240" s="1">
        <v>1075500</v>
      </c>
      <c r="I240" s="3" t="s">
        <v>3</v>
      </c>
    </row>
    <row r="241" spans="2:9" x14ac:dyDescent="0.25">
      <c r="B241" s="1" t="s">
        <v>0</v>
      </c>
      <c r="C241" s="2">
        <v>46157.344351851854</v>
      </c>
      <c r="D241" s="1" t="s">
        <v>173</v>
      </c>
      <c r="E241" s="1" t="s">
        <v>2</v>
      </c>
      <c r="F241" s="1">
        <v>1</v>
      </c>
      <c r="G241" s="1">
        <v>113600</v>
      </c>
      <c r="H241" s="1">
        <v>113600</v>
      </c>
      <c r="I241" s="3" t="s">
        <v>69</v>
      </c>
    </row>
    <row r="242" spans="2:9" x14ac:dyDescent="0.25">
      <c r="B242" s="1" t="s">
        <v>0</v>
      </c>
      <c r="C242" s="2">
        <v>46157.344351851854</v>
      </c>
      <c r="D242" s="1" t="s">
        <v>173</v>
      </c>
      <c r="E242" s="1" t="s">
        <v>4</v>
      </c>
      <c r="F242" s="1">
        <v>2</v>
      </c>
      <c r="G242" s="1">
        <v>215100</v>
      </c>
      <c r="H242" s="1">
        <v>430200</v>
      </c>
      <c r="I242" s="3" t="s">
        <v>69</v>
      </c>
    </row>
    <row r="243" spans="2:9" x14ac:dyDescent="0.25">
      <c r="B243" s="1" t="s">
        <v>0</v>
      </c>
      <c r="C243" s="2">
        <v>46157.345231481479</v>
      </c>
      <c r="D243" s="1" t="s">
        <v>73</v>
      </c>
      <c r="E243" s="1" t="s">
        <v>4</v>
      </c>
      <c r="F243" s="1">
        <v>2</v>
      </c>
      <c r="G243" s="1">
        <v>215100</v>
      </c>
      <c r="H243" s="1">
        <v>430200</v>
      </c>
      <c r="I243" s="3" t="s">
        <v>69</v>
      </c>
    </row>
    <row r="244" spans="2:9" x14ac:dyDescent="0.25">
      <c r="B244" s="1" t="s">
        <v>0</v>
      </c>
      <c r="C244" s="2">
        <v>46157.345972222225</v>
      </c>
      <c r="D244" s="1" t="s">
        <v>7</v>
      </c>
      <c r="E244" s="1" t="s">
        <v>4</v>
      </c>
      <c r="F244" s="1">
        <v>10</v>
      </c>
      <c r="G244" s="1">
        <v>215100</v>
      </c>
      <c r="H244" s="1">
        <v>2151000</v>
      </c>
      <c r="I244" s="3" t="s">
        <v>3</v>
      </c>
    </row>
    <row r="245" spans="2:9" x14ac:dyDescent="0.25">
      <c r="B245" s="1" t="s">
        <v>0</v>
      </c>
      <c r="C245" s="2">
        <v>46157.348055555558</v>
      </c>
      <c r="D245" s="1" t="s">
        <v>68</v>
      </c>
      <c r="E245" s="1" t="s">
        <v>4</v>
      </c>
      <c r="F245" s="1">
        <v>2</v>
      </c>
      <c r="G245" s="1">
        <v>215100</v>
      </c>
      <c r="H245" s="1">
        <v>430200</v>
      </c>
      <c r="I245" s="3" t="s">
        <v>69</v>
      </c>
    </row>
    <row r="246" spans="2:9" x14ac:dyDescent="0.25">
      <c r="B246" s="1" t="s">
        <v>0</v>
      </c>
      <c r="C246" s="2">
        <v>46157.348796296297</v>
      </c>
      <c r="D246" s="1" t="s">
        <v>174</v>
      </c>
      <c r="E246" s="1" t="s">
        <v>2</v>
      </c>
      <c r="F246" s="1">
        <v>2</v>
      </c>
      <c r="G246" s="1">
        <v>113600</v>
      </c>
      <c r="H246" s="1">
        <v>227200</v>
      </c>
      <c r="I246" s="3" t="s">
        <v>69</v>
      </c>
    </row>
    <row r="247" spans="2:9" x14ac:dyDescent="0.25">
      <c r="B247" s="1" t="s">
        <v>0</v>
      </c>
      <c r="C247" s="2">
        <v>46157.348796296297</v>
      </c>
      <c r="D247" s="1" t="s">
        <v>174</v>
      </c>
      <c r="E247" s="1" t="s">
        <v>4</v>
      </c>
      <c r="F247" s="1">
        <v>3</v>
      </c>
      <c r="G247" s="1">
        <v>215100</v>
      </c>
      <c r="H247" s="1">
        <v>645300</v>
      </c>
      <c r="I247" s="3" t="s">
        <v>69</v>
      </c>
    </row>
    <row r="248" spans="2:9" x14ac:dyDescent="0.25">
      <c r="B248" s="1" t="s">
        <v>0</v>
      </c>
      <c r="C248" s="2">
        <v>46158.348680555559</v>
      </c>
      <c r="D248" s="1" t="s">
        <v>90</v>
      </c>
      <c r="E248" s="1" t="s">
        <v>4</v>
      </c>
      <c r="F248" s="1">
        <v>1</v>
      </c>
      <c r="G248" s="1">
        <v>215100</v>
      </c>
      <c r="H248" s="1">
        <v>215100</v>
      </c>
      <c r="I248" s="3" t="s">
        <v>69</v>
      </c>
    </row>
    <row r="249" spans="2:9" x14ac:dyDescent="0.25">
      <c r="B249" s="1" t="s">
        <v>0</v>
      </c>
      <c r="C249" s="2">
        <v>46158.349560185183</v>
      </c>
      <c r="D249" s="1" t="s">
        <v>81</v>
      </c>
      <c r="E249" s="1" t="s">
        <v>2</v>
      </c>
      <c r="F249" s="1">
        <v>2</v>
      </c>
      <c r="G249" s="1">
        <v>113600</v>
      </c>
      <c r="H249" s="1">
        <v>227200</v>
      </c>
      <c r="I249" s="3" t="s">
        <v>69</v>
      </c>
    </row>
    <row r="250" spans="2:9" x14ac:dyDescent="0.25">
      <c r="B250" s="1" t="s">
        <v>0</v>
      </c>
      <c r="C250" s="2">
        <v>46158.349560185183</v>
      </c>
      <c r="D250" s="1" t="s">
        <v>81</v>
      </c>
      <c r="E250" s="1" t="s">
        <v>4</v>
      </c>
      <c r="F250" s="1">
        <v>2</v>
      </c>
      <c r="G250" s="1">
        <v>215100</v>
      </c>
      <c r="H250" s="1">
        <v>430200</v>
      </c>
      <c r="I250" s="3" t="s">
        <v>69</v>
      </c>
    </row>
    <row r="251" spans="2:9" x14ac:dyDescent="0.25">
      <c r="B251" s="1" t="s">
        <v>0</v>
      </c>
      <c r="C251" s="2">
        <v>46158.350266203706</v>
      </c>
      <c r="D251" s="1" t="s">
        <v>82</v>
      </c>
      <c r="E251" s="1" t="s">
        <v>2</v>
      </c>
      <c r="F251" s="1">
        <v>2</v>
      </c>
      <c r="G251" s="1">
        <v>113600</v>
      </c>
      <c r="H251" s="1">
        <v>227200</v>
      </c>
      <c r="I251" s="3" t="s">
        <v>69</v>
      </c>
    </row>
    <row r="252" spans="2:9" x14ac:dyDescent="0.25">
      <c r="B252" s="1" t="s">
        <v>0</v>
      </c>
      <c r="C252" s="2">
        <v>46158.350914351853</v>
      </c>
      <c r="D252" s="1" t="s">
        <v>88</v>
      </c>
      <c r="E252" s="1" t="s">
        <v>4</v>
      </c>
      <c r="F252" s="1">
        <v>1</v>
      </c>
      <c r="G252" s="1">
        <v>215100</v>
      </c>
      <c r="H252" s="1">
        <v>215100</v>
      </c>
      <c r="I252" s="3" t="s">
        <v>69</v>
      </c>
    </row>
    <row r="253" spans="2:9" x14ac:dyDescent="0.25">
      <c r="B253" s="1" t="s">
        <v>0</v>
      </c>
      <c r="C253" s="2">
        <v>46158.351886574077</v>
      </c>
      <c r="D253" s="1" t="s">
        <v>175</v>
      </c>
      <c r="E253" s="1" t="s">
        <v>2</v>
      </c>
      <c r="F253" s="1">
        <v>1</v>
      </c>
      <c r="G253" s="1">
        <v>113600</v>
      </c>
      <c r="H253" s="1">
        <v>113600</v>
      </c>
      <c r="I253" s="3" t="s">
        <v>69</v>
      </c>
    </row>
    <row r="254" spans="2:9" x14ac:dyDescent="0.25">
      <c r="B254" s="1" t="s">
        <v>0</v>
      </c>
      <c r="C254" s="2">
        <v>46158.352627314816</v>
      </c>
      <c r="D254" s="1" t="s">
        <v>53</v>
      </c>
      <c r="E254" s="1" t="s">
        <v>4</v>
      </c>
      <c r="F254" s="1">
        <v>5</v>
      </c>
      <c r="G254" s="1">
        <v>215100</v>
      </c>
      <c r="H254" s="1">
        <v>1075500</v>
      </c>
      <c r="I254" s="3" t="s">
        <v>3</v>
      </c>
    </row>
    <row r="255" spans="2:9" x14ac:dyDescent="0.25">
      <c r="B255" s="1" t="s">
        <v>0</v>
      </c>
      <c r="C255" s="2">
        <v>46158.353680555556</v>
      </c>
      <c r="D255" s="1" t="s">
        <v>87</v>
      </c>
      <c r="E255" s="1" t="s">
        <v>2</v>
      </c>
      <c r="F255" s="1">
        <v>2</v>
      </c>
      <c r="G255" s="1">
        <v>113600</v>
      </c>
      <c r="H255" s="1">
        <v>227200</v>
      </c>
      <c r="I255" s="3" t="s">
        <v>69</v>
      </c>
    </row>
    <row r="256" spans="2:9" x14ac:dyDescent="0.25">
      <c r="B256" s="1" t="s">
        <v>0</v>
      </c>
      <c r="C256" s="2">
        <v>46158.353680555556</v>
      </c>
      <c r="D256" s="1" t="s">
        <v>87</v>
      </c>
      <c r="E256" s="1" t="s">
        <v>4</v>
      </c>
      <c r="F256" s="1">
        <v>1</v>
      </c>
      <c r="G256" s="1">
        <v>215100</v>
      </c>
      <c r="H256" s="1">
        <v>215100</v>
      </c>
      <c r="I256" s="3" t="s">
        <v>69</v>
      </c>
    </row>
    <row r="257" spans="2:9" x14ac:dyDescent="0.25">
      <c r="B257" s="1" t="s">
        <v>0</v>
      </c>
      <c r="C257" s="2">
        <v>46158.354016203702</v>
      </c>
      <c r="D257" s="1" t="s">
        <v>84</v>
      </c>
      <c r="E257" s="1" t="s">
        <v>2</v>
      </c>
      <c r="F257" s="1">
        <v>3</v>
      </c>
      <c r="G257" s="1">
        <v>113600</v>
      </c>
      <c r="H257" s="1">
        <v>340800</v>
      </c>
      <c r="I257" s="3" t="s">
        <v>69</v>
      </c>
    </row>
    <row r="258" spans="2:9" x14ac:dyDescent="0.25">
      <c r="B258" s="1" t="s">
        <v>0</v>
      </c>
      <c r="C258" s="2">
        <v>46158.355000000003</v>
      </c>
      <c r="D258" s="1" t="s">
        <v>86</v>
      </c>
      <c r="E258" s="1" t="s">
        <v>4</v>
      </c>
      <c r="F258" s="1">
        <v>1</v>
      </c>
      <c r="G258" s="1">
        <v>215100</v>
      </c>
      <c r="H258" s="1">
        <v>215100</v>
      </c>
      <c r="I258" s="3" t="s">
        <v>69</v>
      </c>
    </row>
    <row r="259" spans="2:9" x14ac:dyDescent="0.25">
      <c r="B259" s="1" t="s">
        <v>0</v>
      </c>
      <c r="C259" s="2">
        <v>46158.360277777778</v>
      </c>
      <c r="D259" s="1" t="s">
        <v>54</v>
      </c>
      <c r="E259" s="1" t="s">
        <v>4</v>
      </c>
      <c r="F259" s="1">
        <v>1</v>
      </c>
      <c r="G259" s="1">
        <v>215100</v>
      </c>
      <c r="H259" s="1">
        <v>215100</v>
      </c>
      <c r="I259" s="3" t="s">
        <v>3</v>
      </c>
    </row>
    <row r="260" spans="2:9" x14ac:dyDescent="0.25">
      <c r="B260" s="1" t="s">
        <v>0</v>
      </c>
      <c r="C260" s="2">
        <v>46160.371168981481</v>
      </c>
      <c r="D260" s="1" t="s">
        <v>91</v>
      </c>
      <c r="E260" s="1" t="s">
        <v>4</v>
      </c>
      <c r="F260" s="1">
        <v>3</v>
      </c>
      <c r="G260" s="1">
        <v>215100</v>
      </c>
      <c r="H260" s="1">
        <v>645300</v>
      </c>
      <c r="I260" s="3" t="s">
        <v>69</v>
      </c>
    </row>
    <row r="261" spans="2:9" x14ac:dyDescent="0.25">
      <c r="B261" s="1" t="s">
        <v>0</v>
      </c>
      <c r="C261" s="2">
        <v>46160.371168981481</v>
      </c>
      <c r="D261" s="1" t="s">
        <v>91</v>
      </c>
      <c r="E261" s="1" t="s">
        <v>2</v>
      </c>
      <c r="F261" s="1">
        <v>2</v>
      </c>
      <c r="G261" s="1">
        <v>113600</v>
      </c>
      <c r="H261" s="1">
        <v>227200</v>
      </c>
      <c r="I261" s="3" t="s">
        <v>69</v>
      </c>
    </row>
    <row r="262" spans="2:9" x14ac:dyDescent="0.25">
      <c r="B262" s="1" t="s">
        <v>0</v>
      </c>
      <c r="C262" s="2">
        <v>46160.370509259257</v>
      </c>
      <c r="D262" s="1" t="s">
        <v>92</v>
      </c>
      <c r="E262" s="1" t="s">
        <v>4</v>
      </c>
      <c r="F262" s="1">
        <v>10</v>
      </c>
      <c r="G262" s="1">
        <v>215100</v>
      </c>
      <c r="H262" s="1">
        <v>2151000</v>
      </c>
      <c r="I262" s="3" t="s">
        <v>69</v>
      </c>
    </row>
    <row r="263" spans="2:9" x14ac:dyDescent="0.25">
      <c r="B263" s="1" t="s">
        <v>0</v>
      </c>
      <c r="C263" s="2">
        <v>46160.37190972222</v>
      </c>
      <c r="D263" s="1" t="s">
        <v>93</v>
      </c>
      <c r="E263" s="1" t="s">
        <v>4</v>
      </c>
      <c r="F263" s="1">
        <v>1</v>
      </c>
      <c r="G263" s="1">
        <v>215100</v>
      </c>
      <c r="H263" s="1">
        <v>215100</v>
      </c>
      <c r="I263" s="3" t="s">
        <v>69</v>
      </c>
    </row>
    <row r="264" spans="2:9" x14ac:dyDescent="0.25">
      <c r="B264" s="1" t="s">
        <v>0</v>
      </c>
      <c r="C264" s="2">
        <v>46160.372534722221</v>
      </c>
      <c r="D264" s="1" t="s">
        <v>99</v>
      </c>
      <c r="E264" s="1" t="s">
        <v>4</v>
      </c>
      <c r="F264" s="1">
        <v>3</v>
      </c>
      <c r="G264" s="1">
        <v>215100</v>
      </c>
      <c r="H264" s="1">
        <v>645300</v>
      </c>
      <c r="I264" s="3" t="s">
        <v>69</v>
      </c>
    </row>
    <row r="265" spans="2:9" x14ac:dyDescent="0.25">
      <c r="B265" s="1" t="s">
        <v>0</v>
      </c>
      <c r="C265" s="2">
        <v>46160.3752662037</v>
      </c>
      <c r="D265" s="1" t="s">
        <v>97</v>
      </c>
      <c r="E265" s="1" t="s">
        <v>4</v>
      </c>
      <c r="F265" s="1">
        <v>20</v>
      </c>
      <c r="G265" s="1">
        <v>215100</v>
      </c>
      <c r="H265" s="1">
        <v>4302000</v>
      </c>
      <c r="I265" s="3" t="s">
        <v>69</v>
      </c>
    </row>
    <row r="266" spans="2:9" x14ac:dyDescent="0.25">
      <c r="B266" s="1" t="s">
        <v>0</v>
      </c>
      <c r="C266" s="2">
        <v>46160.374421296299</v>
      </c>
      <c r="D266" s="1" t="s">
        <v>14</v>
      </c>
      <c r="E266" s="1" t="s">
        <v>4</v>
      </c>
      <c r="F266" s="1">
        <v>10</v>
      </c>
      <c r="G266" s="1">
        <v>215100</v>
      </c>
      <c r="H266" s="1">
        <v>2151000</v>
      </c>
      <c r="I266" s="3" t="s">
        <v>3</v>
      </c>
    </row>
    <row r="267" spans="2:9" x14ac:dyDescent="0.25">
      <c r="B267" s="1" t="s">
        <v>0</v>
      </c>
      <c r="C267" s="2">
        <v>46160.374421296299</v>
      </c>
      <c r="D267" s="1" t="s">
        <v>14</v>
      </c>
      <c r="E267" s="1" t="s">
        <v>2</v>
      </c>
      <c r="F267" s="1">
        <v>3</v>
      </c>
      <c r="G267" s="1">
        <v>113600</v>
      </c>
      <c r="H267" s="1">
        <v>340800</v>
      </c>
      <c r="I267" s="3" t="s">
        <v>3</v>
      </c>
    </row>
    <row r="268" spans="2:9" x14ac:dyDescent="0.25">
      <c r="B268" s="1" t="s">
        <v>0</v>
      </c>
      <c r="C268" s="2">
        <v>46160.373379629629</v>
      </c>
      <c r="D268" s="1" t="s">
        <v>96</v>
      </c>
      <c r="E268" s="1" t="s">
        <v>4</v>
      </c>
      <c r="F268" s="1">
        <v>7</v>
      </c>
      <c r="G268" s="1">
        <v>215100</v>
      </c>
      <c r="H268" s="1">
        <v>1505700</v>
      </c>
      <c r="I268" s="3" t="s">
        <v>69</v>
      </c>
    </row>
    <row r="269" spans="2:9" x14ac:dyDescent="0.25">
      <c r="B269" s="1" t="s">
        <v>0</v>
      </c>
      <c r="C269" s="2">
        <v>46160.369872685187</v>
      </c>
      <c r="D269" s="1" t="s">
        <v>98</v>
      </c>
      <c r="E269" s="1" t="s">
        <v>4</v>
      </c>
      <c r="F269" s="1">
        <v>1</v>
      </c>
      <c r="G269" s="1">
        <v>215100</v>
      </c>
      <c r="H269" s="1">
        <v>215100</v>
      </c>
      <c r="I269" s="3" t="s">
        <v>69</v>
      </c>
    </row>
    <row r="270" spans="2:9" x14ac:dyDescent="0.25">
      <c r="B270" s="1" t="s">
        <v>0</v>
      </c>
      <c r="C270" s="2">
        <v>46160.358749999999</v>
      </c>
      <c r="D270" s="1" t="s">
        <v>55</v>
      </c>
      <c r="E270" s="1" t="s">
        <v>4</v>
      </c>
      <c r="F270" s="1">
        <v>1</v>
      </c>
      <c r="G270" s="1">
        <v>215100</v>
      </c>
      <c r="H270" s="1">
        <v>215100</v>
      </c>
      <c r="I270" s="3" t="s">
        <v>3</v>
      </c>
    </row>
    <row r="271" spans="2:9" x14ac:dyDescent="0.25">
      <c r="B271" s="1" t="s">
        <v>0</v>
      </c>
      <c r="C271" s="2">
        <v>46160.359444444446</v>
      </c>
      <c r="D271" s="1" t="s">
        <v>15</v>
      </c>
      <c r="E271" s="1" t="s">
        <v>4</v>
      </c>
      <c r="F271" s="1">
        <v>1</v>
      </c>
      <c r="G271" s="1">
        <v>215100</v>
      </c>
      <c r="H271" s="1">
        <v>215100</v>
      </c>
      <c r="I271" s="3" t="s">
        <v>3</v>
      </c>
    </row>
    <row r="272" spans="2:9" x14ac:dyDescent="0.25">
      <c r="B272" s="1" t="s">
        <v>0</v>
      </c>
      <c r="C272" s="2">
        <v>46160.360219907408</v>
      </c>
      <c r="D272" s="1" t="s">
        <v>17</v>
      </c>
      <c r="E272" s="1" t="s">
        <v>4</v>
      </c>
      <c r="F272" s="1">
        <v>1</v>
      </c>
      <c r="G272" s="1">
        <v>215100</v>
      </c>
      <c r="H272" s="1">
        <v>215100</v>
      </c>
      <c r="I272" s="3" t="s">
        <v>3</v>
      </c>
    </row>
    <row r="273" spans="2:9" x14ac:dyDescent="0.25">
      <c r="B273" s="1" t="s">
        <v>0</v>
      </c>
      <c r="C273" s="2">
        <v>46160.361157407409</v>
      </c>
      <c r="D273" s="1" t="s">
        <v>19</v>
      </c>
      <c r="E273" s="1" t="s">
        <v>2</v>
      </c>
      <c r="F273" s="1">
        <v>1</v>
      </c>
      <c r="G273" s="1">
        <v>113600</v>
      </c>
      <c r="H273" s="1">
        <v>113600</v>
      </c>
      <c r="I273" s="3" t="s">
        <v>3</v>
      </c>
    </row>
    <row r="274" spans="2:9" x14ac:dyDescent="0.25">
      <c r="B274" s="1" t="s">
        <v>0</v>
      </c>
      <c r="C274" s="2">
        <v>46160.361157407409</v>
      </c>
      <c r="D274" s="1" t="s">
        <v>19</v>
      </c>
      <c r="E274" s="1" t="s">
        <v>4</v>
      </c>
      <c r="F274" s="1">
        <v>4</v>
      </c>
      <c r="G274" s="1">
        <v>215100</v>
      </c>
      <c r="H274" s="1">
        <v>860400</v>
      </c>
      <c r="I274" s="3" t="s">
        <v>3</v>
      </c>
    </row>
    <row r="275" spans="2:9" x14ac:dyDescent="0.25">
      <c r="B275" s="1" t="s">
        <v>0</v>
      </c>
      <c r="C275" s="2">
        <v>46160.361863425926</v>
      </c>
      <c r="D275" s="1" t="s">
        <v>18</v>
      </c>
      <c r="E275" s="1" t="s">
        <v>4</v>
      </c>
      <c r="F275" s="1">
        <v>50</v>
      </c>
      <c r="G275" s="1">
        <v>209100</v>
      </c>
      <c r="H275" s="1">
        <v>10455000</v>
      </c>
      <c r="I275" s="3" t="s">
        <v>3</v>
      </c>
    </row>
    <row r="276" spans="2:9" x14ac:dyDescent="0.25">
      <c r="B276" s="1" t="s">
        <v>0</v>
      </c>
      <c r="C276" s="2">
        <v>46160.362662037034</v>
      </c>
      <c r="D276" s="1" t="s">
        <v>100</v>
      </c>
      <c r="E276" s="1" t="s">
        <v>4</v>
      </c>
      <c r="F276" s="1">
        <v>10</v>
      </c>
      <c r="G276" s="1">
        <v>215100</v>
      </c>
      <c r="H276" s="1">
        <v>2151000</v>
      </c>
      <c r="I276" s="3" t="s">
        <v>69</v>
      </c>
    </row>
    <row r="277" spans="2:9" x14ac:dyDescent="0.25">
      <c r="B277" s="1" t="s">
        <v>0</v>
      </c>
      <c r="C277" s="2">
        <v>46160.363726851851</v>
      </c>
      <c r="D277" s="1" t="s">
        <v>176</v>
      </c>
      <c r="E277" s="1" t="s">
        <v>4</v>
      </c>
      <c r="F277" s="1">
        <v>1</v>
      </c>
      <c r="G277" s="1">
        <v>215100</v>
      </c>
      <c r="H277" s="1">
        <v>215100</v>
      </c>
      <c r="I277" s="3" t="s">
        <v>69</v>
      </c>
    </row>
    <row r="278" spans="2:9" x14ac:dyDescent="0.25">
      <c r="B278" s="1" t="s">
        <v>0</v>
      </c>
      <c r="C278" s="2">
        <v>46161.376550925925</v>
      </c>
      <c r="D278" s="1" t="s">
        <v>56</v>
      </c>
      <c r="E278" s="1" t="s">
        <v>4</v>
      </c>
      <c r="F278" s="1">
        <v>2</v>
      </c>
      <c r="G278" s="1">
        <v>215100</v>
      </c>
      <c r="H278" s="1">
        <v>430200</v>
      </c>
      <c r="I278" s="3" t="s">
        <v>3</v>
      </c>
    </row>
    <row r="279" spans="2:9" x14ac:dyDescent="0.25">
      <c r="B279" s="1" t="s">
        <v>0</v>
      </c>
      <c r="C279" s="2">
        <v>46161.378657407404</v>
      </c>
      <c r="D279" s="1" t="s">
        <v>22</v>
      </c>
      <c r="E279" s="1" t="s">
        <v>2</v>
      </c>
      <c r="F279" s="1">
        <v>1</v>
      </c>
      <c r="G279" s="1">
        <v>113600</v>
      </c>
      <c r="H279" s="1">
        <v>113600</v>
      </c>
      <c r="I279" s="3" t="s">
        <v>3</v>
      </c>
    </row>
    <row r="280" spans="2:9" x14ac:dyDescent="0.25">
      <c r="B280" s="1" t="s">
        <v>0</v>
      </c>
      <c r="C280" s="2">
        <v>46161.378657407404</v>
      </c>
      <c r="D280" s="1" t="s">
        <v>22</v>
      </c>
      <c r="E280" s="1" t="s">
        <v>4</v>
      </c>
      <c r="F280" s="1">
        <v>1</v>
      </c>
      <c r="G280" s="1">
        <v>215100</v>
      </c>
      <c r="H280" s="1">
        <v>215100</v>
      </c>
      <c r="I280" s="3" t="s">
        <v>3</v>
      </c>
    </row>
    <row r="281" spans="2:9" x14ac:dyDescent="0.25">
      <c r="B281" s="1" t="s">
        <v>0</v>
      </c>
      <c r="C281" s="2">
        <v>46161.379340277781</v>
      </c>
      <c r="D281" s="1" t="s">
        <v>101</v>
      </c>
      <c r="E281" s="1" t="s">
        <v>4</v>
      </c>
      <c r="F281" s="1">
        <v>2</v>
      </c>
      <c r="G281" s="1">
        <v>215100</v>
      </c>
      <c r="H281" s="1">
        <v>430200</v>
      </c>
      <c r="I281" s="3" t="s">
        <v>69</v>
      </c>
    </row>
    <row r="282" spans="2:9" x14ac:dyDescent="0.25">
      <c r="B282" s="1" t="s">
        <v>0</v>
      </c>
      <c r="C282" s="2">
        <v>46161.380150462966</v>
      </c>
      <c r="D282" s="1" t="s">
        <v>102</v>
      </c>
      <c r="E282" s="1" t="s">
        <v>4</v>
      </c>
      <c r="F282" s="1">
        <v>1</v>
      </c>
      <c r="G282" s="1">
        <v>215100</v>
      </c>
      <c r="H282" s="1">
        <v>215100</v>
      </c>
      <c r="I282" s="3" t="s">
        <v>69</v>
      </c>
    </row>
    <row r="283" spans="2:9" x14ac:dyDescent="0.25">
      <c r="B283" s="1" t="s">
        <v>0</v>
      </c>
      <c r="C283" s="2">
        <v>46161.383553240739</v>
      </c>
      <c r="D283" s="1" t="s">
        <v>177</v>
      </c>
      <c r="E283" s="1" t="s">
        <v>4</v>
      </c>
      <c r="F283" s="1">
        <v>1</v>
      </c>
      <c r="G283" s="1">
        <v>215100</v>
      </c>
      <c r="H283" s="1">
        <v>215100</v>
      </c>
      <c r="I283" s="3" t="s">
        <v>69</v>
      </c>
    </row>
    <row r="284" spans="2:9" x14ac:dyDescent="0.25">
      <c r="B284" s="1" t="s">
        <v>0</v>
      </c>
      <c r="C284" s="2">
        <v>46161.38449074074</v>
      </c>
      <c r="D284" s="1" t="s">
        <v>106</v>
      </c>
      <c r="E284" s="1" t="s">
        <v>2</v>
      </c>
      <c r="F284" s="1">
        <v>3</v>
      </c>
      <c r="G284" s="1">
        <v>113600</v>
      </c>
      <c r="H284" s="1">
        <v>340800</v>
      </c>
      <c r="I284" s="3" t="s">
        <v>69</v>
      </c>
    </row>
    <row r="285" spans="2:9" x14ac:dyDescent="0.25">
      <c r="B285" s="1" t="s">
        <v>0</v>
      </c>
      <c r="C285" s="2">
        <v>46161.38449074074</v>
      </c>
      <c r="D285" s="1" t="s">
        <v>106</v>
      </c>
      <c r="E285" s="1" t="s">
        <v>4</v>
      </c>
      <c r="F285" s="1">
        <v>2</v>
      </c>
      <c r="G285" s="1">
        <v>215100</v>
      </c>
      <c r="H285" s="1">
        <v>430200</v>
      </c>
      <c r="I285" s="3" t="s">
        <v>69</v>
      </c>
    </row>
    <row r="286" spans="2:9" x14ac:dyDescent="0.25">
      <c r="B286" s="1" t="s">
        <v>0</v>
      </c>
      <c r="C286" s="2">
        <v>46161.385972222219</v>
      </c>
      <c r="D286" s="1" t="s">
        <v>57</v>
      </c>
      <c r="E286" s="1" t="s">
        <v>4</v>
      </c>
      <c r="F286" s="1">
        <v>5</v>
      </c>
      <c r="G286" s="1">
        <v>215100</v>
      </c>
      <c r="H286" s="1">
        <v>1075500</v>
      </c>
      <c r="I286" s="3" t="s">
        <v>3</v>
      </c>
    </row>
    <row r="287" spans="2:9" x14ac:dyDescent="0.25">
      <c r="B287" s="1" t="s">
        <v>0</v>
      </c>
      <c r="C287" s="2">
        <v>46161.388171296298</v>
      </c>
      <c r="D287" s="1" t="s">
        <v>107</v>
      </c>
      <c r="E287" s="1" t="s">
        <v>4</v>
      </c>
      <c r="F287" s="1">
        <v>2</v>
      </c>
      <c r="G287" s="1">
        <v>215100</v>
      </c>
      <c r="H287" s="1">
        <v>430200</v>
      </c>
      <c r="I287" s="3" t="s">
        <v>69</v>
      </c>
    </row>
    <row r="288" spans="2:9" x14ac:dyDescent="0.25">
      <c r="B288" s="1" t="s">
        <v>0</v>
      </c>
      <c r="C288" s="2">
        <v>46161.388877314814</v>
      </c>
      <c r="D288" s="1" t="s">
        <v>178</v>
      </c>
      <c r="E288" s="1" t="s">
        <v>2</v>
      </c>
      <c r="F288" s="1">
        <v>2</v>
      </c>
      <c r="G288" s="1">
        <v>113600</v>
      </c>
      <c r="H288" s="1">
        <v>227200</v>
      </c>
      <c r="I288" s="3" t="s">
        <v>69</v>
      </c>
    </row>
    <row r="289" spans="2:9" x14ac:dyDescent="0.25">
      <c r="B289" s="1" t="s">
        <v>0</v>
      </c>
      <c r="C289" s="2">
        <v>46161.388877314814</v>
      </c>
      <c r="D289" s="1" t="s">
        <v>178</v>
      </c>
      <c r="E289" s="1" t="s">
        <v>4</v>
      </c>
      <c r="F289" s="1">
        <v>6</v>
      </c>
      <c r="G289" s="1">
        <v>215100</v>
      </c>
      <c r="H289" s="1">
        <v>1290600</v>
      </c>
      <c r="I289" s="3" t="s">
        <v>69</v>
      </c>
    </row>
    <row r="290" spans="2:9" x14ac:dyDescent="0.25">
      <c r="B290" s="1" t="s">
        <v>0</v>
      </c>
      <c r="C290" s="2">
        <v>46161.394085648149</v>
      </c>
      <c r="D290" s="1" t="s">
        <v>179</v>
      </c>
      <c r="E290" s="1" t="s">
        <v>2</v>
      </c>
      <c r="F290" s="1">
        <v>1</v>
      </c>
      <c r="G290" s="1">
        <v>113600</v>
      </c>
      <c r="H290" s="1">
        <v>113600</v>
      </c>
      <c r="I290" s="3" t="s">
        <v>69</v>
      </c>
    </row>
    <row r="291" spans="2:9" x14ac:dyDescent="0.25">
      <c r="B291" s="1" t="s">
        <v>0</v>
      </c>
      <c r="C291" s="2">
        <v>46161.394085648149</v>
      </c>
      <c r="D291" s="1" t="s">
        <v>179</v>
      </c>
      <c r="E291" s="1" t="s">
        <v>4</v>
      </c>
      <c r="F291" s="1">
        <v>1</v>
      </c>
      <c r="G291" s="1">
        <v>215100</v>
      </c>
      <c r="H291" s="1">
        <v>215100</v>
      </c>
      <c r="I291" s="3" t="s">
        <v>69</v>
      </c>
    </row>
    <row r="292" spans="2:9" x14ac:dyDescent="0.25">
      <c r="B292" s="1" t="s">
        <v>0</v>
      </c>
      <c r="C292" s="2">
        <v>46162.392534722225</v>
      </c>
      <c r="D292" s="1" t="s">
        <v>113</v>
      </c>
      <c r="E292" s="1" t="s">
        <v>2</v>
      </c>
      <c r="F292" s="1">
        <v>1</v>
      </c>
      <c r="G292" s="1">
        <v>113600</v>
      </c>
      <c r="H292" s="1">
        <v>113600</v>
      </c>
      <c r="I292" s="3" t="s">
        <v>69</v>
      </c>
    </row>
    <row r="293" spans="2:9" x14ac:dyDescent="0.25">
      <c r="B293" s="1" t="s">
        <v>0</v>
      </c>
      <c r="C293" s="2">
        <v>46162.39435185185</v>
      </c>
      <c r="D293" s="1" t="s">
        <v>114</v>
      </c>
      <c r="E293" s="1" t="s">
        <v>2</v>
      </c>
      <c r="F293" s="1">
        <v>4</v>
      </c>
      <c r="G293" s="1">
        <v>113600</v>
      </c>
      <c r="H293" s="1">
        <v>454400</v>
      </c>
      <c r="I293" s="3" t="s">
        <v>69</v>
      </c>
    </row>
    <row r="294" spans="2:9" x14ac:dyDescent="0.25">
      <c r="B294" s="1" t="s">
        <v>0</v>
      </c>
      <c r="C294" s="2">
        <v>46162.395254629628</v>
      </c>
      <c r="D294" s="1" t="s">
        <v>115</v>
      </c>
      <c r="E294" s="1" t="s">
        <v>4</v>
      </c>
      <c r="F294" s="1">
        <v>1</v>
      </c>
      <c r="G294" s="1">
        <v>215100</v>
      </c>
      <c r="H294" s="1">
        <v>215100</v>
      </c>
      <c r="I294" s="3" t="s">
        <v>69</v>
      </c>
    </row>
    <row r="295" spans="2:9" x14ac:dyDescent="0.25">
      <c r="B295" s="1" t="s">
        <v>0</v>
      </c>
      <c r="C295" s="2">
        <v>46162.39607638889</v>
      </c>
      <c r="D295" s="1" t="s">
        <v>58</v>
      </c>
      <c r="E295" s="1" t="s">
        <v>2</v>
      </c>
      <c r="F295" s="1">
        <v>3</v>
      </c>
      <c r="G295" s="1">
        <v>113600</v>
      </c>
      <c r="H295" s="1">
        <v>340800</v>
      </c>
      <c r="I295" s="3" t="s">
        <v>3</v>
      </c>
    </row>
    <row r="296" spans="2:9" x14ac:dyDescent="0.25">
      <c r="B296" s="1" t="s">
        <v>0</v>
      </c>
      <c r="C296" s="2">
        <v>46162.39607638889</v>
      </c>
      <c r="D296" s="1" t="s">
        <v>58</v>
      </c>
      <c r="E296" s="1" t="s">
        <v>4</v>
      </c>
      <c r="F296" s="1">
        <v>2</v>
      </c>
      <c r="G296" s="1">
        <v>215100</v>
      </c>
      <c r="H296" s="1">
        <v>430200</v>
      </c>
      <c r="I296" s="3" t="s">
        <v>3</v>
      </c>
    </row>
    <row r="297" spans="2:9" x14ac:dyDescent="0.25">
      <c r="B297" s="1" t="s">
        <v>0</v>
      </c>
      <c r="C297" s="2">
        <v>46162.397800925923</v>
      </c>
      <c r="D297" s="1" t="s">
        <v>180</v>
      </c>
      <c r="E297" s="1" t="s">
        <v>2</v>
      </c>
      <c r="F297" s="1">
        <v>1</v>
      </c>
      <c r="G297" s="1">
        <v>113600</v>
      </c>
      <c r="H297" s="1">
        <v>113600</v>
      </c>
      <c r="I297" s="3" t="s">
        <v>69</v>
      </c>
    </row>
    <row r="298" spans="2:9" x14ac:dyDescent="0.25">
      <c r="B298" s="1" t="s">
        <v>0</v>
      </c>
      <c r="C298" s="2">
        <v>46162.397800925923</v>
      </c>
      <c r="D298" s="1" t="s">
        <v>180</v>
      </c>
      <c r="E298" s="1" t="s">
        <v>4</v>
      </c>
      <c r="F298" s="1">
        <v>4</v>
      </c>
      <c r="G298" s="1">
        <v>215100</v>
      </c>
      <c r="H298" s="1">
        <v>860400</v>
      </c>
      <c r="I298" s="3" t="s">
        <v>69</v>
      </c>
    </row>
    <row r="299" spans="2:9" x14ac:dyDescent="0.25">
      <c r="B299" s="1" t="s">
        <v>0</v>
      </c>
      <c r="C299" s="2">
        <v>46162.398634259262</v>
      </c>
      <c r="D299" s="1" t="s">
        <v>28</v>
      </c>
      <c r="E299" s="1" t="s">
        <v>4</v>
      </c>
      <c r="F299" s="1">
        <v>1</v>
      </c>
      <c r="G299" s="1">
        <v>215100</v>
      </c>
      <c r="H299" s="1">
        <v>215100</v>
      </c>
      <c r="I299" s="3" t="s">
        <v>3</v>
      </c>
    </row>
    <row r="300" spans="2:9" x14ac:dyDescent="0.25">
      <c r="B300" s="1" t="s">
        <v>0</v>
      </c>
      <c r="C300" s="2">
        <v>46162.39947916667</v>
      </c>
      <c r="D300" s="1" t="s">
        <v>116</v>
      </c>
      <c r="E300" s="1" t="s">
        <v>2</v>
      </c>
      <c r="F300" s="1">
        <v>1</v>
      </c>
      <c r="G300" s="1">
        <v>113600</v>
      </c>
      <c r="H300" s="1">
        <v>113600</v>
      </c>
      <c r="I300" s="3" t="s">
        <v>69</v>
      </c>
    </row>
    <row r="301" spans="2:9" x14ac:dyDescent="0.25">
      <c r="B301" s="1" t="s">
        <v>0</v>
      </c>
      <c r="C301" s="2">
        <v>46162.39947916667</v>
      </c>
      <c r="D301" s="1" t="s">
        <v>116</v>
      </c>
      <c r="E301" s="1" t="s">
        <v>4</v>
      </c>
      <c r="F301" s="1">
        <v>2</v>
      </c>
      <c r="G301" s="1">
        <v>215100</v>
      </c>
      <c r="H301" s="1">
        <v>430200</v>
      </c>
      <c r="I301" s="3" t="s">
        <v>69</v>
      </c>
    </row>
    <row r="302" spans="2:9" x14ac:dyDescent="0.25">
      <c r="B302" s="1" t="s">
        <v>0</v>
      </c>
      <c r="C302" s="2">
        <v>46162.401006944441</v>
      </c>
      <c r="D302" s="1" t="s">
        <v>59</v>
      </c>
      <c r="E302" s="1" t="s">
        <v>4</v>
      </c>
      <c r="F302" s="1">
        <v>50</v>
      </c>
      <c r="G302" s="1">
        <v>209100</v>
      </c>
      <c r="H302" s="1">
        <v>10455000</v>
      </c>
      <c r="I302" s="3" t="s">
        <v>3</v>
      </c>
    </row>
    <row r="303" spans="2:9" x14ac:dyDescent="0.25">
      <c r="B303" s="1" t="s">
        <v>0</v>
      </c>
      <c r="C303" s="2">
        <v>46162.403379629628</v>
      </c>
      <c r="D303" s="1" t="s">
        <v>27</v>
      </c>
      <c r="E303" s="1" t="s">
        <v>2</v>
      </c>
      <c r="F303" s="1">
        <v>10</v>
      </c>
      <c r="G303" s="1">
        <v>113600</v>
      </c>
      <c r="H303" s="1">
        <v>1136000</v>
      </c>
      <c r="I303" s="3" t="s">
        <v>3</v>
      </c>
    </row>
    <row r="304" spans="2:9" x14ac:dyDescent="0.25">
      <c r="B304" s="1" t="s">
        <v>0</v>
      </c>
      <c r="C304" s="2">
        <v>46162.403379629628</v>
      </c>
      <c r="D304" s="1" t="s">
        <v>27</v>
      </c>
      <c r="E304" s="1" t="s">
        <v>4</v>
      </c>
      <c r="F304" s="1">
        <v>20</v>
      </c>
      <c r="G304" s="1">
        <v>215100</v>
      </c>
      <c r="H304" s="1">
        <v>4302000</v>
      </c>
      <c r="I304" s="3" t="s">
        <v>3</v>
      </c>
    </row>
    <row r="305" spans="2:9" x14ac:dyDescent="0.25">
      <c r="B305" s="1" t="s">
        <v>0</v>
      </c>
      <c r="C305" s="2">
        <v>46162.404050925928</v>
      </c>
      <c r="D305" s="1" t="s">
        <v>181</v>
      </c>
      <c r="E305" s="1" t="s">
        <v>4</v>
      </c>
      <c r="F305" s="1">
        <v>2</v>
      </c>
      <c r="G305" s="1">
        <v>215100</v>
      </c>
      <c r="H305" s="1">
        <v>430200</v>
      </c>
      <c r="I305" s="3" t="s">
        <v>69</v>
      </c>
    </row>
    <row r="306" spans="2:9" x14ac:dyDescent="0.25">
      <c r="B306" s="1" t="s">
        <v>0</v>
      </c>
      <c r="C306" s="2">
        <v>46163.411249999997</v>
      </c>
      <c r="D306" s="1" t="s">
        <v>121</v>
      </c>
      <c r="E306" s="1" t="s">
        <v>4</v>
      </c>
      <c r="F306" s="1">
        <v>1</v>
      </c>
      <c r="G306" s="1">
        <v>215100</v>
      </c>
      <c r="H306" s="1">
        <v>215100</v>
      </c>
      <c r="I306" s="3" t="s">
        <v>69</v>
      </c>
    </row>
    <row r="307" spans="2:9" x14ac:dyDescent="0.25">
      <c r="B307" s="1" t="s">
        <v>0</v>
      </c>
      <c r="C307" s="2">
        <v>46163.411249999997</v>
      </c>
      <c r="D307" s="1" t="s">
        <v>121</v>
      </c>
      <c r="E307" s="1" t="s">
        <v>2</v>
      </c>
      <c r="F307" s="1">
        <v>2</v>
      </c>
      <c r="G307" s="1">
        <v>113600</v>
      </c>
      <c r="H307" s="1">
        <v>227200</v>
      </c>
      <c r="I307" s="3" t="s">
        <v>69</v>
      </c>
    </row>
    <row r="308" spans="2:9" x14ac:dyDescent="0.25">
      <c r="B308" s="1" t="s">
        <v>0</v>
      </c>
      <c r="C308" s="2">
        <v>46163.410983796297</v>
      </c>
      <c r="D308" s="1" t="s">
        <v>122</v>
      </c>
      <c r="E308" s="1" t="s">
        <v>4</v>
      </c>
      <c r="F308" s="1">
        <v>1</v>
      </c>
      <c r="G308" s="1">
        <v>215100</v>
      </c>
      <c r="H308" s="1">
        <v>215100</v>
      </c>
      <c r="I308" s="3" t="s">
        <v>69</v>
      </c>
    </row>
    <row r="309" spans="2:9" x14ac:dyDescent="0.25">
      <c r="B309" s="1" t="s">
        <v>0</v>
      </c>
      <c r="C309" s="2">
        <v>46163.410983796297</v>
      </c>
      <c r="D309" s="1" t="s">
        <v>122</v>
      </c>
      <c r="E309" s="1" t="s">
        <v>2</v>
      </c>
      <c r="F309" s="1">
        <v>1</v>
      </c>
      <c r="G309" s="1">
        <v>113600</v>
      </c>
      <c r="H309" s="1">
        <v>113600</v>
      </c>
      <c r="I309" s="3" t="s">
        <v>69</v>
      </c>
    </row>
    <row r="310" spans="2:9" x14ac:dyDescent="0.25">
      <c r="B310" s="1" t="s">
        <v>0</v>
      </c>
      <c r="C310" s="2">
        <v>46163.410694444443</v>
      </c>
      <c r="D310" s="1" t="s">
        <v>182</v>
      </c>
      <c r="E310" s="1" t="s">
        <v>2</v>
      </c>
      <c r="F310" s="1">
        <v>2</v>
      </c>
      <c r="G310" s="1">
        <v>113600</v>
      </c>
      <c r="H310" s="1">
        <v>227200</v>
      </c>
      <c r="I310" s="3" t="s">
        <v>69</v>
      </c>
    </row>
    <row r="311" spans="2:9" x14ac:dyDescent="0.25">
      <c r="B311" s="1" t="s">
        <v>0</v>
      </c>
      <c r="C311" s="2">
        <v>46163.410393518519</v>
      </c>
      <c r="D311" s="1" t="s">
        <v>123</v>
      </c>
      <c r="E311" s="1" t="s">
        <v>4</v>
      </c>
      <c r="F311" s="1">
        <v>1</v>
      </c>
      <c r="G311" s="1">
        <v>215100</v>
      </c>
      <c r="H311" s="1">
        <v>215100</v>
      </c>
      <c r="I311" s="3" t="s">
        <v>69</v>
      </c>
    </row>
    <row r="312" spans="2:9" x14ac:dyDescent="0.25">
      <c r="B312" s="1" t="s">
        <v>0</v>
      </c>
      <c r="C312" s="2">
        <v>46163.410069444442</v>
      </c>
      <c r="D312" s="1" t="s">
        <v>126</v>
      </c>
      <c r="E312" s="1" t="s">
        <v>4</v>
      </c>
      <c r="F312" s="1">
        <v>3</v>
      </c>
      <c r="G312" s="1">
        <v>215100</v>
      </c>
      <c r="H312" s="1">
        <v>645300</v>
      </c>
      <c r="I312" s="3" t="s">
        <v>69</v>
      </c>
    </row>
    <row r="313" spans="2:9" x14ac:dyDescent="0.25">
      <c r="B313" s="1" t="s">
        <v>0</v>
      </c>
      <c r="C313" s="2">
        <v>46163.410069444442</v>
      </c>
      <c r="D313" s="1" t="s">
        <v>126</v>
      </c>
      <c r="E313" s="1" t="s">
        <v>2</v>
      </c>
      <c r="F313" s="1">
        <v>1</v>
      </c>
      <c r="G313" s="1">
        <v>113600</v>
      </c>
      <c r="H313" s="1">
        <v>113600</v>
      </c>
      <c r="I313" s="3" t="s">
        <v>69</v>
      </c>
    </row>
    <row r="314" spans="2:9" x14ac:dyDescent="0.25">
      <c r="B314" s="1" t="s">
        <v>0</v>
      </c>
      <c r="C314" s="2">
        <v>46163.409803240742</v>
      </c>
      <c r="D314" s="1" t="s">
        <v>120</v>
      </c>
      <c r="E314" s="1" t="s">
        <v>4</v>
      </c>
      <c r="F314" s="1">
        <v>2</v>
      </c>
      <c r="G314" s="1">
        <v>215100</v>
      </c>
      <c r="H314" s="1">
        <v>430200</v>
      </c>
      <c r="I314" s="3" t="s">
        <v>69</v>
      </c>
    </row>
    <row r="315" spans="2:9" x14ac:dyDescent="0.25">
      <c r="B315" s="1" t="s">
        <v>0</v>
      </c>
      <c r="C315" s="2">
        <v>46163.409803240742</v>
      </c>
      <c r="D315" s="1" t="s">
        <v>120</v>
      </c>
      <c r="E315" s="1" t="s">
        <v>2</v>
      </c>
      <c r="F315" s="1">
        <v>1</v>
      </c>
      <c r="G315" s="1">
        <v>113600</v>
      </c>
      <c r="H315" s="1">
        <v>113600</v>
      </c>
      <c r="I315" s="3" t="s">
        <v>69</v>
      </c>
    </row>
    <row r="316" spans="2:9" x14ac:dyDescent="0.25">
      <c r="B316" s="1" t="s">
        <v>0</v>
      </c>
      <c r="C316" s="2">
        <v>46163.40662037037</v>
      </c>
      <c r="D316" s="1" t="s">
        <v>128</v>
      </c>
      <c r="E316" s="1" t="s">
        <v>4</v>
      </c>
      <c r="F316" s="1">
        <v>1</v>
      </c>
      <c r="G316" s="1">
        <v>215100</v>
      </c>
      <c r="H316" s="1">
        <v>215100</v>
      </c>
      <c r="I316" s="3" t="s">
        <v>69</v>
      </c>
    </row>
    <row r="317" spans="2:9" x14ac:dyDescent="0.25">
      <c r="B317" s="1" t="s">
        <v>0</v>
      </c>
      <c r="C317" s="2">
        <v>46163.40662037037</v>
      </c>
      <c r="D317" s="1" t="s">
        <v>128</v>
      </c>
      <c r="E317" s="1" t="s">
        <v>2</v>
      </c>
      <c r="F317" s="1">
        <v>1</v>
      </c>
      <c r="G317" s="1">
        <v>113600</v>
      </c>
      <c r="H317" s="1">
        <v>113600</v>
      </c>
      <c r="I317" s="3" t="s">
        <v>69</v>
      </c>
    </row>
    <row r="318" spans="2:9" x14ac:dyDescent="0.25">
      <c r="B318" s="1" t="s">
        <v>0</v>
      </c>
      <c r="C318" s="2">
        <v>46163.409490740742</v>
      </c>
      <c r="D318" s="1" t="s">
        <v>129</v>
      </c>
      <c r="E318" s="1" t="s">
        <v>4</v>
      </c>
      <c r="F318" s="1">
        <v>3</v>
      </c>
      <c r="G318" s="1">
        <v>215100</v>
      </c>
      <c r="H318" s="1">
        <v>645300</v>
      </c>
      <c r="I318" s="3" t="s">
        <v>69</v>
      </c>
    </row>
    <row r="319" spans="2:9" x14ac:dyDescent="0.25">
      <c r="B319" s="1" t="s">
        <v>0</v>
      </c>
      <c r="C319" s="2">
        <v>46163.409212962964</v>
      </c>
      <c r="D319" s="1" t="s">
        <v>130</v>
      </c>
      <c r="E319" s="1" t="s">
        <v>4</v>
      </c>
      <c r="F319" s="1">
        <v>2</v>
      </c>
      <c r="G319" s="1">
        <v>215100</v>
      </c>
      <c r="H319" s="1">
        <v>430200</v>
      </c>
      <c r="I319" s="3" t="s">
        <v>69</v>
      </c>
    </row>
    <row r="320" spans="2:9" x14ac:dyDescent="0.25">
      <c r="B320" s="1" t="s">
        <v>0</v>
      </c>
      <c r="C320" s="2">
        <v>46163.408310185187</v>
      </c>
      <c r="D320" s="1" t="s">
        <v>131</v>
      </c>
      <c r="E320" s="1" t="s">
        <v>4</v>
      </c>
      <c r="F320" s="1">
        <v>2</v>
      </c>
      <c r="G320" s="1">
        <v>215100</v>
      </c>
      <c r="H320" s="1">
        <v>430200</v>
      </c>
      <c r="I320" s="3" t="s">
        <v>69</v>
      </c>
    </row>
    <row r="321" spans="2:9" x14ac:dyDescent="0.25">
      <c r="B321" s="1" t="s">
        <v>0</v>
      </c>
      <c r="C321" s="2">
        <v>46163.40797453704</v>
      </c>
      <c r="D321" s="1" t="s">
        <v>34</v>
      </c>
      <c r="E321" s="1" t="s">
        <v>4</v>
      </c>
      <c r="F321" s="1">
        <v>2</v>
      </c>
      <c r="G321" s="1">
        <v>215100</v>
      </c>
      <c r="H321" s="1">
        <v>430200</v>
      </c>
      <c r="I321" s="3" t="s">
        <v>3</v>
      </c>
    </row>
    <row r="322" spans="2:9" x14ac:dyDescent="0.25">
      <c r="B322" s="1" t="s">
        <v>0</v>
      </c>
      <c r="C322" s="2">
        <v>46163.40797453704</v>
      </c>
      <c r="D322" s="1" t="s">
        <v>34</v>
      </c>
      <c r="E322" s="1" t="s">
        <v>2</v>
      </c>
      <c r="F322" s="1">
        <v>1</v>
      </c>
      <c r="G322" s="1">
        <v>113600</v>
      </c>
      <c r="H322" s="1">
        <v>113600</v>
      </c>
      <c r="I322" s="3" t="s">
        <v>3</v>
      </c>
    </row>
    <row r="323" spans="2:9" x14ac:dyDescent="0.25">
      <c r="B323" s="1" t="s">
        <v>0</v>
      </c>
      <c r="C323" s="2">
        <v>46164.352280092593</v>
      </c>
      <c r="D323" s="1" t="s">
        <v>133</v>
      </c>
      <c r="E323" s="1" t="s">
        <v>2</v>
      </c>
      <c r="F323" s="1">
        <v>1</v>
      </c>
      <c r="G323" s="1">
        <v>113600</v>
      </c>
      <c r="H323" s="1">
        <v>113600</v>
      </c>
      <c r="I323" s="3" t="s">
        <v>69</v>
      </c>
    </row>
    <row r="324" spans="2:9" x14ac:dyDescent="0.25">
      <c r="B324" s="1" t="s">
        <v>0</v>
      </c>
      <c r="C324" s="2">
        <v>46164.352280092593</v>
      </c>
      <c r="D324" s="1" t="s">
        <v>133</v>
      </c>
      <c r="E324" s="1" t="s">
        <v>4</v>
      </c>
      <c r="F324" s="1">
        <v>1</v>
      </c>
      <c r="G324" s="1">
        <v>215100</v>
      </c>
      <c r="H324" s="1">
        <v>215100</v>
      </c>
      <c r="I324" s="3" t="s">
        <v>69</v>
      </c>
    </row>
    <row r="325" spans="2:9" x14ac:dyDescent="0.25">
      <c r="B325" s="1" t="s">
        <v>0</v>
      </c>
      <c r="C325" s="2">
        <v>46164.353055555555</v>
      </c>
      <c r="D325" s="1" t="s">
        <v>134</v>
      </c>
      <c r="E325" s="1" t="s">
        <v>4</v>
      </c>
      <c r="F325" s="1">
        <v>2</v>
      </c>
      <c r="G325" s="1">
        <v>215100</v>
      </c>
      <c r="H325" s="1">
        <v>430200</v>
      </c>
      <c r="I325" s="3" t="s">
        <v>69</v>
      </c>
    </row>
    <row r="326" spans="2:9" x14ac:dyDescent="0.25">
      <c r="B326" s="1" t="s">
        <v>0</v>
      </c>
      <c r="C326" s="2">
        <v>46164.353738425925</v>
      </c>
      <c r="D326" s="1" t="s">
        <v>39</v>
      </c>
      <c r="E326" s="1" t="s">
        <v>2</v>
      </c>
      <c r="F326" s="1">
        <v>2</v>
      </c>
      <c r="G326" s="1">
        <v>113600</v>
      </c>
      <c r="H326" s="1">
        <v>227200</v>
      </c>
      <c r="I326" s="3" t="s">
        <v>3</v>
      </c>
    </row>
    <row r="327" spans="2:9" x14ac:dyDescent="0.25">
      <c r="B327" s="1" t="s">
        <v>0</v>
      </c>
      <c r="C327" s="2">
        <v>46164.353738425925</v>
      </c>
      <c r="D327" s="1" t="s">
        <v>39</v>
      </c>
      <c r="E327" s="1" t="s">
        <v>4</v>
      </c>
      <c r="F327" s="1">
        <v>3</v>
      </c>
      <c r="G327" s="1">
        <v>215100</v>
      </c>
      <c r="H327" s="1">
        <v>645300</v>
      </c>
      <c r="I327" s="3" t="s">
        <v>3</v>
      </c>
    </row>
    <row r="328" spans="2:9" x14ac:dyDescent="0.25">
      <c r="B328" s="1" t="s">
        <v>0</v>
      </c>
      <c r="C328" s="2">
        <v>46164.355115740742</v>
      </c>
      <c r="D328" s="1" t="s">
        <v>137</v>
      </c>
      <c r="E328" s="1" t="s">
        <v>2</v>
      </c>
      <c r="F328" s="1">
        <v>1</v>
      </c>
      <c r="G328" s="1">
        <v>113600</v>
      </c>
      <c r="H328" s="1">
        <v>113600</v>
      </c>
      <c r="I328" s="3" t="s">
        <v>69</v>
      </c>
    </row>
    <row r="329" spans="2:9" x14ac:dyDescent="0.25">
      <c r="B329" s="1" t="s">
        <v>0</v>
      </c>
      <c r="C329" s="2">
        <v>46164.355115740742</v>
      </c>
      <c r="D329" s="1" t="s">
        <v>137</v>
      </c>
      <c r="E329" s="1" t="s">
        <v>4</v>
      </c>
      <c r="F329" s="1">
        <v>4</v>
      </c>
      <c r="G329" s="1">
        <v>215100</v>
      </c>
      <c r="H329" s="1">
        <v>860400</v>
      </c>
      <c r="I329" s="3" t="s">
        <v>69</v>
      </c>
    </row>
    <row r="330" spans="2:9" x14ac:dyDescent="0.25">
      <c r="B330" s="1" t="s">
        <v>0</v>
      </c>
      <c r="C330" s="2">
        <v>46164.355821759258</v>
      </c>
      <c r="D330" s="1" t="s">
        <v>138</v>
      </c>
      <c r="E330" s="1" t="s">
        <v>2</v>
      </c>
      <c r="F330" s="1">
        <v>1</v>
      </c>
      <c r="G330" s="1">
        <v>113600</v>
      </c>
      <c r="H330" s="1">
        <v>113600</v>
      </c>
      <c r="I330" s="3" t="s">
        <v>69</v>
      </c>
    </row>
    <row r="331" spans="2:9" x14ac:dyDescent="0.25">
      <c r="B331" s="1" t="s">
        <v>0</v>
      </c>
      <c r="C331" s="2">
        <v>46164.355821759258</v>
      </c>
      <c r="D331" s="1" t="s">
        <v>138</v>
      </c>
      <c r="E331" s="1" t="s">
        <v>4</v>
      </c>
      <c r="F331" s="1">
        <v>2</v>
      </c>
      <c r="G331" s="1">
        <v>215100</v>
      </c>
      <c r="H331" s="1">
        <v>430200</v>
      </c>
      <c r="I331" s="3" t="s">
        <v>69</v>
      </c>
    </row>
    <row r="332" spans="2:9" x14ac:dyDescent="0.25">
      <c r="B332" s="1" t="s">
        <v>0</v>
      </c>
      <c r="C332" s="2">
        <v>46164.356574074074</v>
      </c>
      <c r="D332" s="1" t="s">
        <v>140</v>
      </c>
      <c r="E332" s="1" t="s">
        <v>4</v>
      </c>
      <c r="F332" s="1">
        <v>3</v>
      </c>
      <c r="G332" s="1">
        <v>215100</v>
      </c>
      <c r="H332" s="1">
        <v>645300</v>
      </c>
      <c r="I332" s="3" t="s">
        <v>69</v>
      </c>
    </row>
    <row r="333" spans="2:9" x14ac:dyDescent="0.25">
      <c r="B333" s="1" t="s">
        <v>0</v>
      </c>
      <c r="C333" s="2">
        <v>46164.359351851854</v>
      </c>
      <c r="D333" s="1" t="s">
        <v>42</v>
      </c>
      <c r="E333" s="1" t="s">
        <v>2</v>
      </c>
      <c r="F333" s="1">
        <v>5</v>
      </c>
      <c r="G333" s="1">
        <v>113600</v>
      </c>
      <c r="H333" s="1">
        <v>568000</v>
      </c>
      <c r="I333" s="3" t="s">
        <v>3</v>
      </c>
    </row>
    <row r="334" spans="2:9" x14ac:dyDescent="0.25">
      <c r="B334" s="1" t="s">
        <v>0</v>
      </c>
      <c r="C334" s="2">
        <v>46164.35833333333</v>
      </c>
      <c r="D334" s="1" t="s">
        <v>183</v>
      </c>
      <c r="E334" s="1" t="s">
        <v>2</v>
      </c>
      <c r="F334" s="1">
        <v>1</v>
      </c>
      <c r="G334" s="1">
        <v>113600</v>
      </c>
      <c r="H334" s="1">
        <v>113600</v>
      </c>
      <c r="I334" s="3" t="s">
        <v>69</v>
      </c>
    </row>
    <row r="335" spans="2:9" x14ac:dyDescent="0.25">
      <c r="B335" s="1" t="s">
        <v>0</v>
      </c>
      <c r="C335" s="2">
        <v>46164.360243055555</v>
      </c>
      <c r="D335" s="1" t="s">
        <v>7</v>
      </c>
      <c r="E335" s="1" t="s">
        <v>4</v>
      </c>
      <c r="F335" s="1">
        <v>5</v>
      </c>
      <c r="G335" s="1">
        <v>215100</v>
      </c>
      <c r="H335" s="1">
        <v>1075500</v>
      </c>
      <c r="I335" s="3" t="s">
        <v>3</v>
      </c>
    </row>
    <row r="336" spans="2:9" x14ac:dyDescent="0.25">
      <c r="B336" s="1" t="s">
        <v>0</v>
      </c>
      <c r="C336" s="2">
        <v>46164.36173611111</v>
      </c>
      <c r="D336" s="1" t="s">
        <v>141</v>
      </c>
      <c r="E336" s="1" t="s">
        <v>2</v>
      </c>
      <c r="F336" s="1">
        <v>5</v>
      </c>
      <c r="G336" s="1">
        <v>113600</v>
      </c>
      <c r="H336" s="1">
        <v>568000</v>
      </c>
      <c r="I336" s="3" t="s">
        <v>69</v>
      </c>
    </row>
    <row r="337" spans="2:9" x14ac:dyDescent="0.25">
      <c r="B337" s="1" t="s">
        <v>0</v>
      </c>
      <c r="C337" s="2">
        <v>46164.36173611111</v>
      </c>
      <c r="D337" s="1" t="s">
        <v>141</v>
      </c>
      <c r="E337" s="1" t="s">
        <v>4</v>
      </c>
      <c r="F337" s="1">
        <v>10</v>
      </c>
      <c r="G337" s="1">
        <v>215100</v>
      </c>
      <c r="H337" s="1">
        <v>2151000</v>
      </c>
      <c r="I337" s="3" t="s">
        <v>69</v>
      </c>
    </row>
    <row r="338" spans="2:9" x14ac:dyDescent="0.25">
      <c r="B338" s="1" t="s">
        <v>0</v>
      </c>
      <c r="C338" s="2">
        <v>46164.362592592595</v>
      </c>
      <c r="D338" s="1" t="s">
        <v>184</v>
      </c>
      <c r="E338" s="1" t="s">
        <v>2</v>
      </c>
      <c r="F338" s="1">
        <v>1</v>
      </c>
      <c r="G338" s="1">
        <v>113600</v>
      </c>
      <c r="H338" s="1">
        <v>113600</v>
      </c>
      <c r="I338" s="3" t="s">
        <v>69</v>
      </c>
    </row>
    <row r="339" spans="2:9" x14ac:dyDescent="0.25">
      <c r="B339" s="1" t="s">
        <v>0</v>
      </c>
      <c r="C339" s="2">
        <v>46164.362592592595</v>
      </c>
      <c r="D339" s="1" t="s">
        <v>184</v>
      </c>
      <c r="E339" s="1" t="s">
        <v>4</v>
      </c>
      <c r="F339" s="1">
        <v>1</v>
      </c>
      <c r="G339" s="1">
        <v>215100</v>
      </c>
      <c r="H339" s="1">
        <v>215100</v>
      </c>
      <c r="I339" s="3" t="s">
        <v>69</v>
      </c>
    </row>
    <row r="340" spans="2:9" x14ac:dyDescent="0.25">
      <c r="B340" s="1" t="s">
        <v>0</v>
      </c>
      <c r="C340" s="2">
        <v>46164.369490740741</v>
      </c>
      <c r="D340" s="1" t="s">
        <v>60</v>
      </c>
      <c r="E340" s="1" t="s">
        <v>4</v>
      </c>
      <c r="F340" s="1">
        <v>1</v>
      </c>
      <c r="G340" s="1">
        <v>215100</v>
      </c>
      <c r="H340" s="1">
        <v>215100</v>
      </c>
      <c r="I340" s="3" t="s">
        <v>3</v>
      </c>
    </row>
    <row r="341" spans="2:9" x14ac:dyDescent="0.25">
      <c r="B341" s="1" t="s">
        <v>0</v>
      </c>
      <c r="C341" s="2">
        <v>46165.346990740742</v>
      </c>
      <c r="D341" s="1" t="s">
        <v>185</v>
      </c>
      <c r="E341" s="1" t="s">
        <v>2</v>
      </c>
      <c r="F341" s="1">
        <v>1</v>
      </c>
      <c r="G341" s="1">
        <v>113600</v>
      </c>
      <c r="H341" s="1">
        <v>113600</v>
      </c>
      <c r="I341" s="3" t="s">
        <v>69</v>
      </c>
    </row>
    <row r="342" spans="2:9" x14ac:dyDescent="0.25">
      <c r="B342" s="1" t="s">
        <v>0</v>
      </c>
      <c r="C342" s="2">
        <v>46165.346990740742</v>
      </c>
      <c r="D342" s="1" t="s">
        <v>185</v>
      </c>
      <c r="E342" s="1" t="s">
        <v>4</v>
      </c>
      <c r="F342" s="1">
        <v>1</v>
      </c>
      <c r="G342" s="1">
        <v>215100</v>
      </c>
      <c r="H342" s="1">
        <v>215100</v>
      </c>
      <c r="I342" s="3" t="s">
        <v>69</v>
      </c>
    </row>
    <row r="343" spans="2:9" x14ac:dyDescent="0.25">
      <c r="B343" s="1" t="s">
        <v>0</v>
      </c>
      <c r="C343" s="2">
        <v>46165.347696759258</v>
      </c>
      <c r="D343" s="1" t="s">
        <v>147</v>
      </c>
      <c r="E343" s="1" t="s">
        <v>4</v>
      </c>
      <c r="F343" s="1">
        <v>1</v>
      </c>
      <c r="G343" s="1">
        <v>215100</v>
      </c>
      <c r="H343" s="1">
        <v>215100</v>
      </c>
      <c r="I343" s="3" t="s">
        <v>69</v>
      </c>
    </row>
    <row r="344" spans="2:9" x14ac:dyDescent="0.25">
      <c r="B344" s="1" t="s">
        <v>0</v>
      </c>
      <c r="C344" s="2">
        <v>46165.349259259259</v>
      </c>
      <c r="D344" s="1" t="s">
        <v>186</v>
      </c>
      <c r="E344" s="1" t="s">
        <v>2</v>
      </c>
      <c r="F344" s="1">
        <v>1</v>
      </c>
      <c r="G344" s="1">
        <v>113600</v>
      </c>
      <c r="H344" s="1">
        <v>113600</v>
      </c>
      <c r="I344" s="3" t="s">
        <v>69</v>
      </c>
    </row>
    <row r="345" spans="2:9" x14ac:dyDescent="0.25">
      <c r="B345" s="1" t="s">
        <v>0</v>
      </c>
      <c r="C345" s="2">
        <v>46165.349259259259</v>
      </c>
      <c r="D345" s="1" t="s">
        <v>186</v>
      </c>
      <c r="E345" s="1" t="s">
        <v>4</v>
      </c>
      <c r="F345" s="1">
        <v>1</v>
      </c>
      <c r="G345" s="1">
        <v>215100</v>
      </c>
      <c r="H345" s="1">
        <v>215100</v>
      </c>
      <c r="I345" s="3" t="s">
        <v>69</v>
      </c>
    </row>
    <row r="346" spans="2:9" x14ac:dyDescent="0.25">
      <c r="B346" s="1" t="s">
        <v>0</v>
      </c>
      <c r="C346" s="2">
        <v>46165.350011574075</v>
      </c>
      <c r="D346" s="1" t="s">
        <v>187</v>
      </c>
      <c r="E346" s="1" t="s">
        <v>4</v>
      </c>
      <c r="F346" s="1">
        <v>1</v>
      </c>
      <c r="G346" s="1">
        <v>215100</v>
      </c>
      <c r="H346" s="1">
        <v>215100</v>
      </c>
      <c r="I346" s="3" t="s">
        <v>69</v>
      </c>
    </row>
    <row r="347" spans="2:9" x14ac:dyDescent="0.25">
      <c r="B347" s="1" t="s">
        <v>0</v>
      </c>
      <c r="C347" s="2">
        <v>46165.35087962963</v>
      </c>
      <c r="D347" s="1" t="s">
        <v>188</v>
      </c>
      <c r="E347" s="1" t="s">
        <v>2</v>
      </c>
      <c r="F347" s="1">
        <v>2</v>
      </c>
      <c r="G347" s="1">
        <v>113600</v>
      </c>
      <c r="H347" s="1">
        <v>227200</v>
      </c>
      <c r="I347" s="3" t="s">
        <v>69</v>
      </c>
    </row>
    <row r="348" spans="2:9" x14ac:dyDescent="0.25">
      <c r="B348" s="1" t="s">
        <v>0</v>
      </c>
      <c r="C348" s="2">
        <v>46165.35087962963</v>
      </c>
      <c r="D348" s="1" t="s">
        <v>188</v>
      </c>
      <c r="E348" s="1" t="s">
        <v>4</v>
      </c>
      <c r="F348" s="1">
        <v>5</v>
      </c>
      <c r="G348" s="1">
        <v>215100</v>
      </c>
      <c r="H348" s="1">
        <v>1075500</v>
      </c>
      <c r="I348" s="3" t="s">
        <v>69</v>
      </c>
    </row>
    <row r="349" spans="2:9" x14ac:dyDescent="0.25">
      <c r="B349" s="1" t="s">
        <v>0</v>
      </c>
      <c r="C349" s="2">
        <v>46165.351597222223</v>
      </c>
      <c r="D349" s="1" t="s">
        <v>189</v>
      </c>
      <c r="E349" s="1" t="s">
        <v>4</v>
      </c>
      <c r="F349" s="1">
        <v>1</v>
      </c>
      <c r="G349" s="1">
        <v>215100</v>
      </c>
      <c r="H349" s="1">
        <v>215100</v>
      </c>
      <c r="I349" s="3" t="s">
        <v>69</v>
      </c>
    </row>
    <row r="350" spans="2:9" x14ac:dyDescent="0.25">
      <c r="B350" s="1" t="s">
        <v>0</v>
      </c>
      <c r="C350" s="2">
        <v>46165.35260416667</v>
      </c>
      <c r="D350" s="1" t="s">
        <v>145</v>
      </c>
      <c r="E350" s="1" t="s">
        <v>2</v>
      </c>
      <c r="F350" s="1">
        <v>1</v>
      </c>
      <c r="G350" s="1">
        <v>113600</v>
      </c>
      <c r="H350" s="1">
        <v>113600</v>
      </c>
      <c r="I350" s="3" t="s">
        <v>69</v>
      </c>
    </row>
    <row r="351" spans="2:9" x14ac:dyDescent="0.25">
      <c r="B351" s="1" t="s">
        <v>0</v>
      </c>
      <c r="C351" s="2">
        <v>46165.353692129633</v>
      </c>
      <c r="D351" s="1" t="s">
        <v>190</v>
      </c>
      <c r="E351" s="1" t="s">
        <v>2</v>
      </c>
      <c r="F351" s="1">
        <v>1</v>
      </c>
      <c r="G351" s="1">
        <v>113600</v>
      </c>
      <c r="H351" s="1">
        <v>113600</v>
      </c>
      <c r="I351" s="3" t="s">
        <v>69</v>
      </c>
    </row>
    <row r="352" spans="2:9" x14ac:dyDescent="0.25">
      <c r="B352" s="1" t="s">
        <v>0</v>
      </c>
      <c r="C352" s="2">
        <v>46165.354375000003</v>
      </c>
      <c r="D352" s="1" t="s">
        <v>61</v>
      </c>
      <c r="E352" s="1" t="s">
        <v>2</v>
      </c>
      <c r="F352" s="1">
        <v>5</v>
      </c>
      <c r="G352" s="1">
        <v>113600</v>
      </c>
      <c r="H352" s="1">
        <v>568000</v>
      </c>
      <c r="I352" s="3" t="s">
        <v>3</v>
      </c>
    </row>
    <row r="353" spans="2:11" x14ac:dyDescent="0.25">
      <c r="B353" s="1" t="s">
        <v>0</v>
      </c>
      <c r="C353" s="2">
        <v>46165.357083333336</v>
      </c>
      <c r="D353" s="1" t="s">
        <v>62</v>
      </c>
      <c r="E353" s="1" t="s">
        <v>4</v>
      </c>
      <c r="F353" s="1">
        <v>1</v>
      </c>
      <c r="G353" s="1">
        <v>215100</v>
      </c>
      <c r="H353" s="1">
        <v>215100</v>
      </c>
      <c r="I353" s="3" t="s">
        <v>3</v>
      </c>
    </row>
    <row r="354" spans="2:11" x14ac:dyDescent="0.25">
      <c r="B354" s="1" t="s">
        <v>0</v>
      </c>
      <c r="C354" s="2">
        <v>46165.314236111109</v>
      </c>
      <c r="D354" s="1" t="s">
        <v>191</v>
      </c>
      <c r="E354" s="1" t="s">
        <v>4</v>
      </c>
      <c r="F354" s="1">
        <v>2</v>
      </c>
      <c r="G354" s="1">
        <v>215100</v>
      </c>
      <c r="H354" s="1">
        <v>430200</v>
      </c>
      <c r="I354" s="3" t="s">
        <v>69</v>
      </c>
    </row>
    <row r="355" spans="2:11" x14ac:dyDescent="0.25">
      <c r="F355">
        <f>SUBTOTAL(9,F4:F354)</f>
        <v>1044</v>
      </c>
      <c r="H355">
        <f>SUBTOTAL(9,H4:H354)</f>
        <v>193671900</v>
      </c>
    </row>
    <row r="356" spans="2:11" x14ac:dyDescent="0.25">
      <c r="H356" s="5"/>
    </row>
    <row r="357" spans="2:11" ht="15.75" thickBot="1" x14ac:dyDescent="0.3">
      <c r="H357" s="5"/>
    </row>
    <row r="358" spans="2:11" x14ac:dyDescent="0.25">
      <c r="C358" s="38"/>
      <c r="D358" s="12" t="s">
        <v>194</v>
      </c>
      <c r="E358" s="12"/>
      <c r="F358" s="22" t="s">
        <v>420</v>
      </c>
      <c r="G358" s="23"/>
      <c r="H358" s="15" t="s">
        <v>410</v>
      </c>
      <c r="I358" s="10"/>
    </row>
    <row r="359" spans="2:11" x14ac:dyDescent="0.25">
      <c r="C359" s="39"/>
      <c r="D359" s="9" t="s">
        <v>192</v>
      </c>
      <c r="E359" s="8" t="s">
        <v>195</v>
      </c>
      <c r="F359" s="24" t="s">
        <v>192</v>
      </c>
      <c r="G359" s="25" t="s">
        <v>195</v>
      </c>
      <c r="H359" s="16" t="s">
        <v>192</v>
      </c>
      <c r="I359" s="3" t="s">
        <v>193</v>
      </c>
    </row>
    <row r="360" spans="2:11" x14ac:dyDescent="0.25">
      <c r="C360" s="39" t="s">
        <v>65</v>
      </c>
      <c r="D360" s="1">
        <v>3</v>
      </c>
      <c r="E360" s="13">
        <v>347400</v>
      </c>
      <c r="F360" s="26"/>
      <c r="G360" s="32">
        <v>3</v>
      </c>
      <c r="H360" s="10">
        <f t="shared" ref="H360:I362" si="0">SUM(D360+F360)</f>
        <v>3</v>
      </c>
      <c r="I360" s="6">
        <f t="shared" si="0"/>
        <v>347403</v>
      </c>
    </row>
    <row r="361" spans="2:11" x14ac:dyDescent="0.25">
      <c r="C361" s="1" t="s">
        <v>66</v>
      </c>
      <c r="D361" s="1">
        <v>142</v>
      </c>
      <c r="E361" s="13">
        <v>16051200</v>
      </c>
      <c r="F361" s="26">
        <v>152</v>
      </c>
      <c r="G361" s="32">
        <v>17193600</v>
      </c>
      <c r="H361" s="10">
        <f t="shared" si="0"/>
        <v>294</v>
      </c>
      <c r="I361" s="6">
        <f t="shared" si="0"/>
        <v>33244800</v>
      </c>
    </row>
    <row r="362" spans="2:11" x14ac:dyDescent="0.25">
      <c r="C362" s="1" t="s">
        <v>67</v>
      </c>
      <c r="D362" s="1">
        <v>354</v>
      </c>
      <c r="E362" s="13">
        <v>75545400</v>
      </c>
      <c r="F362" s="26">
        <v>393</v>
      </c>
      <c r="G362" s="32">
        <v>84534300</v>
      </c>
      <c r="H362" s="10">
        <f t="shared" si="0"/>
        <v>747</v>
      </c>
      <c r="I362" s="6">
        <f t="shared" si="0"/>
        <v>160079700</v>
      </c>
    </row>
    <row r="363" spans="2:11" x14ac:dyDescent="0.25">
      <c r="C363" s="1"/>
      <c r="D363" s="1"/>
      <c r="E363" s="13"/>
      <c r="F363" s="26"/>
      <c r="G363" s="32"/>
      <c r="H363" s="10"/>
      <c r="I363" s="1"/>
    </row>
    <row r="364" spans="2:11" ht="15.75" thickBot="1" x14ac:dyDescent="0.3">
      <c r="C364" s="1"/>
      <c r="D364" s="1">
        <f>SUM(D360:D362)</f>
        <v>499</v>
      </c>
      <c r="E364" s="14">
        <f>SUM(E360:E362)</f>
        <v>91944000</v>
      </c>
      <c r="F364" s="27">
        <f>SUM(F360:F362)</f>
        <v>545</v>
      </c>
      <c r="G364" s="33">
        <f>SUM(G360:G362)</f>
        <v>101727903</v>
      </c>
      <c r="H364" s="18">
        <f>SUM(H360:H362)</f>
        <v>1044</v>
      </c>
      <c r="I364" s="6">
        <f>SUM(I360:I363)</f>
        <v>193671903</v>
      </c>
    </row>
    <row r="365" spans="2:11" x14ac:dyDescent="0.25">
      <c r="J365">
        <f>SUM(D364+F364)</f>
        <v>1044</v>
      </c>
      <c r="K365" s="5">
        <f>SUM(E364+G364)</f>
        <v>193671903</v>
      </c>
    </row>
    <row r="367" spans="2:11" x14ac:dyDescent="0.25">
      <c r="C367" s="36" t="s">
        <v>438</v>
      </c>
    </row>
    <row r="368" spans="2:11" x14ac:dyDescent="0.25">
      <c r="C368" s="1" t="s">
        <v>424</v>
      </c>
      <c r="D368" s="1" t="s">
        <v>425</v>
      </c>
      <c r="E368" s="1" t="s">
        <v>430</v>
      </c>
      <c r="F368" s="1" t="s">
        <v>428</v>
      </c>
      <c r="G368" s="1" t="s">
        <v>427</v>
      </c>
      <c r="H368" s="37" t="s">
        <v>426</v>
      </c>
      <c r="I368" s="10"/>
    </row>
    <row r="369" spans="3:9" x14ac:dyDescent="0.25">
      <c r="C369" s="1" t="s">
        <v>65</v>
      </c>
      <c r="D369" s="6">
        <v>110500</v>
      </c>
      <c r="E369" s="37">
        <f>SUM(D360)</f>
        <v>3</v>
      </c>
      <c r="F369" s="6">
        <f>SUM(D369*E369)</f>
        <v>331500</v>
      </c>
      <c r="G369" s="6">
        <f>SUM(E360)</f>
        <v>347400</v>
      </c>
      <c r="H369" s="37"/>
      <c r="I369" s="17">
        <f>SUM(G369-F369)</f>
        <v>15900</v>
      </c>
    </row>
    <row r="370" spans="3:9" x14ac:dyDescent="0.25">
      <c r="C370" s="1" t="s">
        <v>66</v>
      </c>
      <c r="D370" s="6">
        <v>107500</v>
      </c>
      <c r="E370" s="37">
        <f>SUM(D361)</f>
        <v>142</v>
      </c>
      <c r="F370" s="6">
        <f>SUM(D370*E370)</f>
        <v>15265000</v>
      </c>
      <c r="G370" s="6">
        <f>SUM(E361)</f>
        <v>16051200</v>
      </c>
      <c r="H370" s="37"/>
      <c r="I370" s="17">
        <f>SUM(G370-F370)</f>
        <v>786200</v>
      </c>
    </row>
    <row r="371" spans="3:9" x14ac:dyDescent="0.25">
      <c r="C371" s="1" t="s">
        <v>67</v>
      </c>
      <c r="D371" s="6">
        <v>201900</v>
      </c>
      <c r="E371" s="37">
        <f>SUM(D362)</f>
        <v>354</v>
      </c>
      <c r="F371" s="6">
        <f>SUM(D371*E371)</f>
        <v>71472600</v>
      </c>
      <c r="G371" s="6">
        <f>SUM(E362)</f>
        <v>75545400</v>
      </c>
      <c r="H371" s="37"/>
      <c r="I371" s="17">
        <f>SUM(G371-F371)</f>
        <v>4072800</v>
      </c>
    </row>
    <row r="372" spans="3:9" x14ac:dyDescent="0.25">
      <c r="E372">
        <f>SUM(E369:E371)</f>
        <v>499</v>
      </c>
    </row>
    <row r="373" spans="3:9" x14ac:dyDescent="0.25">
      <c r="I373" s="11">
        <f>SUM(I369:I371)</f>
        <v>4874900</v>
      </c>
    </row>
    <row r="375" spans="3:9" x14ac:dyDescent="0.25">
      <c r="C375" s="36" t="s">
        <v>439</v>
      </c>
    </row>
    <row r="376" spans="3:9" x14ac:dyDescent="0.25">
      <c r="C376" s="1" t="s">
        <v>424</v>
      </c>
      <c r="D376" s="1" t="s">
        <v>425</v>
      </c>
      <c r="E376" s="1" t="s">
        <v>431</v>
      </c>
      <c r="F376" s="1" t="s">
        <v>428</v>
      </c>
      <c r="G376" s="1" t="s">
        <v>427</v>
      </c>
      <c r="H376" s="37" t="s">
        <v>429</v>
      </c>
      <c r="I376" s="10"/>
    </row>
    <row r="377" spans="3:9" x14ac:dyDescent="0.25">
      <c r="C377" s="1" t="s">
        <v>65</v>
      </c>
      <c r="D377" s="6">
        <v>110500</v>
      </c>
      <c r="E377" s="43">
        <f>SUM(F360)</f>
        <v>0</v>
      </c>
      <c r="F377" s="6">
        <f>SUM(D377*E377)</f>
        <v>0</v>
      </c>
      <c r="G377" s="6">
        <f>SUM(G360)</f>
        <v>3</v>
      </c>
      <c r="H377" s="37"/>
      <c r="I377" s="17">
        <f>SUM(G377-F377)</f>
        <v>3</v>
      </c>
    </row>
    <row r="378" spans="3:9" x14ac:dyDescent="0.25">
      <c r="C378" s="1" t="s">
        <v>66</v>
      </c>
      <c r="D378" s="6">
        <v>107500</v>
      </c>
      <c r="E378" s="43">
        <f>SUM(F361)</f>
        <v>152</v>
      </c>
      <c r="F378" s="6">
        <f>SUM(D378*E378)</f>
        <v>16340000</v>
      </c>
      <c r="G378" s="6">
        <f>SUM(G361)</f>
        <v>17193600</v>
      </c>
      <c r="H378" s="37"/>
      <c r="I378" s="17">
        <f>SUM(G378-F378)</f>
        <v>853600</v>
      </c>
    </row>
    <row r="379" spans="3:9" x14ac:dyDescent="0.25">
      <c r="C379" s="1" t="s">
        <v>67</v>
      </c>
      <c r="D379" s="6">
        <v>201900</v>
      </c>
      <c r="E379" s="43">
        <f>SUM(F362)</f>
        <v>393</v>
      </c>
      <c r="F379" s="6">
        <f>SUM(D379*E379)</f>
        <v>79346700</v>
      </c>
      <c r="G379" s="6">
        <f>SUM(G362)</f>
        <v>84534300</v>
      </c>
      <c r="H379" s="37"/>
      <c r="I379" s="17">
        <f>SUM(G379-F379)</f>
        <v>5187600</v>
      </c>
    </row>
    <row r="380" spans="3:9" x14ac:dyDescent="0.25">
      <c r="E380" s="21">
        <f>SUM(E377:E379)</f>
        <v>545</v>
      </c>
    </row>
    <row r="381" spans="3:9" x14ac:dyDescent="0.25">
      <c r="I381" s="11">
        <f>SUM(I377:I379)</f>
        <v>6041203</v>
      </c>
    </row>
    <row r="382" spans="3:9" x14ac:dyDescent="0.25">
      <c r="E382" s="21"/>
      <c r="G382" s="5"/>
    </row>
    <row r="383" spans="3:9" x14ac:dyDescent="0.25">
      <c r="G383" s="5"/>
    </row>
    <row r="384" spans="3:9" x14ac:dyDescent="0.25">
      <c r="G384" s="5"/>
    </row>
  </sheetData>
  <autoFilter ref="B3:I3" xr:uid="{5B8FCCD6-3362-4996-BA35-F6C2C637AEE3}"/>
  <mergeCells count="1">
    <mergeCell ref="L3:M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69F8-2060-495C-A3BE-1F607CF2C454}">
  <sheetPr filterMode="1"/>
  <dimension ref="B1:M195"/>
  <sheetViews>
    <sheetView topLeftCell="D177" workbookViewId="0">
      <selection activeCell="I193" sqref="I193"/>
    </sheetView>
  </sheetViews>
  <sheetFormatPr defaultRowHeight="15" x14ac:dyDescent="0.25"/>
  <cols>
    <col min="3" max="3" width="14.42578125" customWidth="1"/>
    <col min="4" max="4" width="16.7109375" customWidth="1"/>
    <col min="5" max="5" width="19" customWidth="1"/>
    <col min="6" max="6" width="16.42578125" customWidth="1"/>
    <col min="7" max="7" width="16.140625" customWidth="1"/>
    <col min="8" max="8" width="15.85546875" customWidth="1"/>
    <col min="9" max="9" width="19.5703125" customWidth="1"/>
    <col min="11" max="11" width="12.5703125" bestFit="1" customWidth="1"/>
    <col min="13" max="13" width="18.140625" bestFit="1" customWidth="1"/>
  </cols>
  <sheetData>
    <row r="1" spans="2:9" x14ac:dyDescent="0.25">
      <c r="B1" t="s">
        <v>412</v>
      </c>
    </row>
    <row r="3" spans="2:9" x14ac:dyDescent="0.25">
      <c r="B3" s="7" t="s">
        <v>416</v>
      </c>
      <c r="C3" s="7" t="s">
        <v>63</v>
      </c>
      <c r="D3" s="7" t="s">
        <v>415</v>
      </c>
      <c r="E3" s="7" t="s">
        <v>414</v>
      </c>
      <c r="F3" s="7" t="s">
        <v>419</v>
      </c>
      <c r="G3" s="7" t="s">
        <v>418</v>
      </c>
      <c r="H3" s="7" t="s">
        <v>417</v>
      </c>
      <c r="I3" s="19" t="s">
        <v>64</v>
      </c>
    </row>
    <row r="4" spans="2:9" hidden="1" x14ac:dyDescent="0.25">
      <c r="B4" s="1" t="s">
        <v>196</v>
      </c>
      <c r="C4" s="2">
        <v>46144.324745370373</v>
      </c>
      <c r="D4" s="1" t="s">
        <v>197</v>
      </c>
      <c r="E4" s="1" t="s">
        <v>4</v>
      </c>
      <c r="F4" s="1">
        <v>5</v>
      </c>
      <c r="G4" s="1">
        <v>215100</v>
      </c>
      <c r="H4" s="20">
        <v>1075500</v>
      </c>
      <c r="I4" s="3" t="s">
        <v>3</v>
      </c>
    </row>
    <row r="5" spans="2:9" hidden="1" x14ac:dyDescent="0.25">
      <c r="B5" s="1" t="s">
        <v>196</v>
      </c>
      <c r="C5" s="2">
        <v>46144.325300925928</v>
      </c>
      <c r="D5" s="1" t="s">
        <v>198</v>
      </c>
      <c r="E5" s="1" t="s">
        <v>2</v>
      </c>
      <c r="F5" s="1">
        <v>5</v>
      </c>
      <c r="G5" s="1">
        <v>112800</v>
      </c>
      <c r="H5" s="20">
        <v>564000</v>
      </c>
      <c r="I5" s="3" t="s">
        <v>69</v>
      </c>
    </row>
    <row r="6" spans="2:9" hidden="1" x14ac:dyDescent="0.25">
      <c r="B6" s="1" t="s">
        <v>196</v>
      </c>
      <c r="C6" s="2">
        <v>46144.326261574075</v>
      </c>
      <c r="D6" s="1" t="s">
        <v>199</v>
      </c>
      <c r="E6" s="1" t="s">
        <v>4</v>
      </c>
      <c r="F6" s="1">
        <v>5</v>
      </c>
      <c r="G6" s="1">
        <v>215100</v>
      </c>
      <c r="H6" s="20">
        <v>1075500</v>
      </c>
      <c r="I6" s="3" t="s">
        <v>3</v>
      </c>
    </row>
    <row r="7" spans="2:9" x14ac:dyDescent="0.25">
      <c r="B7" s="1" t="s">
        <v>196</v>
      </c>
      <c r="C7" s="2">
        <v>46144.326863425929</v>
      </c>
      <c r="D7" s="1" t="s">
        <v>200</v>
      </c>
      <c r="E7" s="1" t="s">
        <v>4</v>
      </c>
      <c r="F7" s="1">
        <v>2</v>
      </c>
      <c r="G7" s="1">
        <v>215100</v>
      </c>
      <c r="H7" s="20">
        <v>430200</v>
      </c>
      <c r="I7" s="3" t="s">
        <v>69</v>
      </c>
    </row>
    <row r="8" spans="2:9" hidden="1" x14ac:dyDescent="0.25">
      <c r="B8" s="1" t="s">
        <v>196</v>
      </c>
      <c r="C8" s="2">
        <v>46144.327719907407</v>
      </c>
      <c r="D8" s="1" t="s">
        <v>201</v>
      </c>
      <c r="E8" s="1" t="s">
        <v>2</v>
      </c>
      <c r="F8" s="1">
        <v>1</v>
      </c>
      <c r="G8" s="1">
        <v>112800</v>
      </c>
      <c r="H8" s="20">
        <v>112800</v>
      </c>
      <c r="I8" s="3" t="s">
        <v>3</v>
      </c>
    </row>
    <row r="9" spans="2:9" hidden="1" x14ac:dyDescent="0.25">
      <c r="B9" s="1" t="s">
        <v>196</v>
      </c>
      <c r="C9" s="2">
        <v>46144.327719907407</v>
      </c>
      <c r="D9" s="1" t="s">
        <v>201</v>
      </c>
      <c r="E9" s="1" t="s">
        <v>4</v>
      </c>
      <c r="F9" s="1">
        <v>1</v>
      </c>
      <c r="G9" s="1">
        <v>215100</v>
      </c>
      <c r="H9" s="20">
        <v>215100</v>
      </c>
      <c r="I9" s="3" t="s">
        <v>3</v>
      </c>
    </row>
    <row r="10" spans="2:9" hidden="1" x14ac:dyDescent="0.25">
      <c r="B10" s="1" t="s">
        <v>196</v>
      </c>
      <c r="C10" s="2">
        <v>46144.328958333332</v>
      </c>
      <c r="D10" s="1" t="s">
        <v>202</v>
      </c>
      <c r="E10" s="1" t="s">
        <v>2</v>
      </c>
      <c r="F10" s="1">
        <v>1</v>
      </c>
      <c r="G10" s="1">
        <v>112800</v>
      </c>
      <c r="H10" s="20">
        <v>112800</v>
      </c>
      <c r="I10" s="3" t="s">
        <v>3</v>
      </c>
    </row>
    <row r="11" spans="2:9" hidden="1" x14ac:dyDescent="0.25">
      <c r="B11" s="1" t="s">
        <v>196</v>
      </c>
      <c r="C11" s="2">
        <v>46144.328958333332</v>
      </c>
      <c r="D11" s="1" t="s">
        <v>202</v>
      </c>
      <c r="E11" s="1" t="s">
        <v>4</v>
      </c>
      <c r="F11" s="1">
        <v>2</v>
      </c>
      <c r="G11" s="1">
        <v>215100</v>
      </c>
      <c r="H11" s="20">
        <v>430200</v>
      </c>
      <c r="I11" s="3" t="s">
        <v>3</v>
      </c>
    </row>
    <row r="12" spans="2:9" hidden="1" x14ac:dyDescent="0.25">
      <c r="B12" s="1" t="s">
        <v>196</v>
      </c>
      <c r="C12" s="2">
        <v>46144.330092592594</v>
      </c>
      <c r="D12" s="1" t="s">
        <v>203</v>
      </c>
      <c r="E12" s="1" t="s">
        <v>2</v>
      </c>
      <c r="F12" s="1">
        <v>1</v>
      </c>
      <c r="G12" s="1">
        <v>112800</v>
      </c>
      <c r="H12" s="20">
        <v>112800</v>
      </c>
      <c r="I12" s="3" t="s">
        <v>69</v>
      </c>
    </row>
    <row r="13" spans="2:9" x14ac:dyDescent="0.25">
      <c r="B13" s="1" t="s">
        <v>196</v>
      </c>
      <c r="C13" s="2">
        <v>46144.330092592594</v>
      </c>
      <c r="D13" s="1" t="s">
        <v>203</v>
      </c>
      <c r="E13" s="1" t="s">
        <v>4</v>
      </c>
      <c r="F13" s="1">
        <v>1</v>
      </c>
      <c r="G13" s="1">
        <v>215100</v>
      </c>
      <c r="H13" s="20">
        <v>215100</v>
      </c>
      <c r="I13" s="3" t="s">
        <v>69</v>
      </c>
    </row>
    <row r="14" spans="2:9" hidden="1" x14ac:dyDescent="0.25">
      <c r="B14" s="1" t="s">
        <v>196</v>
      </c>
      <c r="C14" s="2">
        <v>46146.329687500001</v>
      </c>
      <c r="D14" s="1" t="s">
        <v>204</v>
      </c>
      <c r="E14" s="1" t="s">
        <v>2</v>
      </c>
      <c r="F14" s="1">
        <v>1</v>
      </c>
      <c r="G14" s="1">
        <v>112800</v>
      </c>
      <c r="H14" s="20">
        <v>112800</v>
      </c>
      <c r="I14" s="3" t="s">
        <v>69</v>
      </c>
    </row>
    <row r="15" spans="2:9" x14ac:dyDescent="0.25">
      <c r="B15" s="1" t="s">
        <v>196</v>
      </c>
      <c r="C15" s="2">
        <v>46146.329687500001</v>
      </c>
      <c r="D15" s="1" t="s">
        <v>204</v>
      </c>
      <c r="E15" s="1" t="s">
        <v>4</v>
      </c>
      <c r="F15" s="1">
        <v>1</v>
      </c>
      <c r="G15" s="1">
        <v>215100</v>
      </c>
      <c r="H15" s="20">
        <v>215100</v>
      </c>
      <c r="I15" s="3" t="s">
        <v>69</v>
      </c>
    </row>
    <row r="16" spans="2:9" hidden="1" x14ac:dyDescent="0.25">
      <c r="B16" s="1" t="s">
        <v>196</v>
      </c>
      <c r="C16" s="2">
        <v>46146.33116898148</v>
      </c>
      <c r="D16" s="1" t="s">
        <v>205</v>
      </c>
      <c r="E16" s="1" t="s">
        <v>2</v>
      </c>
      <c r="F16" s="1">
        <v>4</v>
      </c>
      <c r="G16" s="1">
        <v>112800</v>
      </c>
      <c r="H16" s="20">
        <v>451200</v>
      </c>
      <c r="I16" s="3" t="s">
        <v>69</v>
      </c>
    </row>
    <row r="17" spans="2:9" x14ac:dyDescent="0.25">
      <c r="B17" s="1" t="s">
        <v>196</v>
      </c>
      <c r="C17" s="2">
        <v>46146.33116898148</v>
      </c>
      <c r="D17" s="1" t="s">
        <v>205</v>
      </c>
      <c r="E17" s="1" t="s">
        <v>4</v>
      </c>
      <c r="F17" s="1">
        <v>10</v>
      </c>
      <c r="G17" s="1">
        <v>215100</v>
      </c>
      <c r="H17" s="20">
        <v>2151000</v>
      </c>
      <c r="I17" s="3" t="s">
        <v>69</v>
      </c>
    </row>
    <row r="18" spans="2:9" x14ac:dyDescent="0.25">
      <c r="B18" s="1" t="s">
        <v>196</v>
      </c>
      <c r="C18" s="2">
        <v>46146.332337962966</v>
      </c>
      <c r="D18" s="1" t="s">
        <v>206</v>
      </c>
      <c r="E18" s="1" t="s">
        <v>4</v>
      </c>
      <c r="F18" s="1">
        <v>10</v>
      </c>
      <c r="G18" s="1">
        <v>215100</v>
      </c>
      <c r="H18" s="20">
        <v>2151000</v>
      </c>
      <c r="I18" s="3" t="s">
        <v>69</v>
      </c>
    </row>
    <row r="19" spans="2:9" hidden="1" x14ac:dyDescent="0.25">
      <c r="B19" s="1" t="s">
        <v>196</v>
      </c>
      <c r="C19" s="2">
        <v>46146.32775462963</v>
      </c>
      <c r="D19" s="1" t="s">
        <v>207</v>
      </c>
      <c r="E19" s="1" t="s">
        <v>4</v>
      </c>
      <c r="F19" s="1">
        <v>4</v>
      </c>
      <c r="G19" s="1">
        <v>215100</v>
      </c>
      <c r="H19" s="20">
        <v>860400</v>
      </c>
      <c r="I19" s="3" t="s">
        <v>3</v>
      </c>
    </row>
    <row r="20" spans="2:9" hidden="1" x14ac:dyDescent="0.25">
      <c r="B20" s="1" t="s">
        <v>196</v>
      </c>
      <c r="C20" s="2">
        <v>46147.316203703704</v>
      </c>
      <c r="D20" s="1" t="s">
        <v>148</v>
      </c>
      <c r="E20" s="1" t="s">
        <v>2</v>
      </c>
      <c r="F20" s="1">
        <v>1</v>
      </c>
      <c r="G20" s="1">
        <v>112800</v>
      </c>
      <c r="H20" s="20">
        <v>112800</v>
      </c>
      <c r="I20" s="3" t="s">
        <v>69</v>
      </c>
    </row>
    <row r="21" spans="2:9" x14ac:dyDescent="0.25">
      <c r="B21" s="1" t="s">
        <v>196</v>
      </c>
      <c r="C21" s="2">
        <v>46147.316203703704</v>
      </c>
      <c r="D21" s="1" t="s">
        <v>148</v>
      </c>
      <c r="E21" s="1" t="s">
        <v>4</v>
      </c>
      <c r="F21" s="1">
        <v>1</v>
      </c>
      <c r="G21" s="1">
        <v>215100</v>
      </c>
      <c r="H21" s="20">
        <v>215100</v>
      </c>
      <c r="I21" s="3" t="s">
        <v>69</v>
      </c>
    </row>
    <row r="22" spans="2:9" x14ac:dyDescent="0.25">
      <c r="B22" s="1" t="s">
        <v>196</v>
      </c>
      <c r="C22" s="2">
        <v>46147.33797453704</v>
      </c>
      <c r="D22" s="1" t="s">
        <v>208</v>
      </c>
      <c r="E22" s="1" t="s">
        <v>4</v>
      </c>
      <c r="F22" s="1">
        <v>1</v>
      </c>
      <c r="G22" s="1">
        <v>215100</v>
      </c>
      <c r="H22" s="20">
        <v>215100</v>
      </c>
      <c r="I22" s="3" t="s">
        <v>69</v>
      </c>
    </row>
    <row r="23" spans="2:9" hidden="1" x14ac:dyDescent="0.25">
      <c r="B23" s="1" t="s">
        <v>196</v>
      </c>
      <c r="C23" s="2">
        <v>46147.339409722219</v>
      </c>
      <c r="D23" s="1" t="s">
        <v>209</v>
      </c>
      <c r="E23" s="1" t="s">
        <v>2</v>
      </c>
      <c r="F23" s="1">
        <v>1</v>
      </c>
      <c r="G23" s="1">
        <v>112800</v>
      </c>
      <c r="H23" s="20">
        <v>112800</v>
      </c>
      <c r="I23" s="3" t="s">
        <v>69</v>
      </c>
    </row>
    <row r="24" spans="2:9" x14ac:dyDescent="0.25">
      <c r="B24" s="1" t="s">
        <v>196</v>
      </c>
      <c r="C24" s="2">
        <v>46147.339409722219</v>
      </c>
      <c r="D24" s="1" t="s">
        <v>209</v>
      </c>
      <c r="E24" s="1" t="s">
        <v>4</v>
      </c>
      <c r="F24" s="1">
        <v>1</v>
      </c>
      <c r="G24" s="1">
        <v>215100</v>
      </c>
      <c r="H24" s="20">
        <v>215100</v>
      </c>
      <c r="I24" s="3" t="s">
        <v>69</v>
      </c>
    </row>
    <row r="25" spans="2:9" x14ac:dyDescent="0.25">
      <c r="B25" s="1" t="s">
        <v>196</v>
      </c>
      <c r="C25" s="2">
        <v>46147.339965277781</v>
      </c>
      <c r="D25" s="1" t="s">
        <v>210</v>
      </c>
      <c r="E25" s="1" t="s">
        <v>4</v>
      </c>
      <c r="F25" s="1">
        <v>3</v>
      </c>
      <c r="G25" s="1">
        <v>215100</v>
      </c>
      <c r="H25" s="20">
        <v>645300</v>
      </c>
      <c r="I25" s="3" t="s">
        <v>69</v>
      </c>
    </row>
    <row r="26" spans="2:9" x14ac:dyDescent="0.25">
      <c r="B26" s="1" t="s">
        <v>196</v>
      </c>
      <c r="C26" s="2">
        <v>46147.342222222222</v>
      </c>
      <c r="D26" s="1" t="s">
        <v>211</v>
      </c>
      <c r="E26" s="1" t="s">
        <v>4</v>
      </c>
      <c r="F26" s="1">
        <v>2</v>
      </c>
      <c r="G26" s="1">
        <v>215100</v>
      </c>
      <c r="H26" s="20">
        <v>430200</v>
      </c>
      <c r="I26" s="3" t="s">
        <v>69</v>
      </c>
    </row>
    <row r="27" spans="2:9" x14ac:dyDescent="0.25">
      <c r="B27" s="1" t="s">
        <v>196</v>
      </c>
      <c r="C27" s="2">
        <v>46147.344351851854</v>
      </c>
      <c r="D27" s="1" t="s">
        <v>212</v>
      </c>
      <c r="E27" s="1" t="s">
        <v>4</v>
      </c>
      <c r="F27" s="1">
        <v>2</v>
      </c>
      <c r="G27" s="1">
        <v>215100</v>
      </c>
      <c r="H27" s="20">
        <v>430200</v>
      </c>
      <c r="I27" s="3" t="s">
        <v>69</v>
      </c>
    </row>
    <row r="28" spans="2:9" x14ac:dyDescent="0.25">
      <c r="B28" s="1" t="s">
        <v>196</v>
      </c>
      <c r="C28" s="2">
        <v>46147.313668981478</v>
      </c>
      <c r="D28" s="1" t="s">
        <v>213</v>
      </c>
      <c r="E28" s="1" t="s">
        <v>4</v>
      </c>
      <c r="F28" s="1">
        <v>1</v>
      </c>
      <c r="G28" s="1">
        <v>215100</v>
      </c>
      <c r="H28" s="20">
        <v>215100</v>
      </c>
      <c r="I28" s="3" t="s">
        <v>69</v>
      </c>
    </row>
    <row r="29" spans="2:9" x14ac:dyDescent="0.25">
      <c r="B29" s="1" t="s">
        <v>196</v>
      </c>
      <c r="C29" s="2">
        <v>46147.315648148149</v>
      </c>
      <c r="D29" s="1" t="s">
        <v>214</v>
      </c>
      <c r="E29" s="1" t="s">
        <v>4</v>
      </c>
      <c r="F29" s="1">
        <v>3</v>
      </c>
      <c r="G29" s="1">
        <v>215100</v>
      </c>
      <c r="H29" s="20">
        <v>645300</v>
      </c>
      <c r="I29" s="3" t="s">
        <v>69</v>
      </c>
    </row>
    <row r="30" spans="2:9" x14ac:dyDescent="0.25">
      <c r="B30" s="1" t="s">
        <v>196</v>
      </c>
      <c r="C30" s="2">
        <v>46148.332175925927</v>
      </c>
      <c r="D30" s="1" t="s">
        <v>215</v>
      </c>
      <c r="E30" s="1" t="s">
        <v>4</v>
      </c>
      <c r="F30" s="1">
        <v>10</v>
      </c>
      <c r="G30" s="1">
        <v>215100</v>
      </c>
      <c r="H30" s="20">
        <v>2151000</v>
      </c>
      <c r="I30" s="3" t="s">
        <v>69</v>
      </c>
    </row>
    <row r="31" spans="2:9" hidden="1" x14ac:dyDescent="0.25">
      <c r="B31" s="1" t="s">
        <v>196</v>
      </c>
      <c r="C31" s="2">
        <v>46148.332789351851</v>
      </c>
      <c r="D31" s="1" t="s">
        <v>216</v>
      </c>
      <c r="E31" s="1" t="s">
        <v>2</v>
      </c>
      <c r="F31" s="1">
        <v>2</v>
      </c>
      <c r="G31" s="1">
        <v>112800</v>
      </c>
      <c r="H31" s="20">
        <v>225600</v>
      </c>
      <c r="I31" s="3" t="s">
        <v>69</v>
      </c>
    </row>
    <row r="32" spans="2:9" x14ac:dyDescent="0.25">
      <c r="B32" s="1" t="s">
        <v>196</v>
      </c>
      <c r="C32" s="2">
        <v>46148.335960648146</v>
      </c>
      <c r="D32" s="1" t="s">
        <v>61</v>
      </c>
      <c r="E32" s="1" t="s">
        <v>4</v>
      </c>
      <c r="F32" s="1">
        <v>2</v>
      </c>
      <c r="G32" s="1">
        <v>215100</v>
      </c>
      <c r="H32" s="20">
        <v>430200</v>
      </c>
      <c r="I32" s="3" t="s">
        <v>69</v>
      </c>
    </row>
    <row r="33" spans="2:9" hidden="1" x14ac:dyDescent="0.25">
      <c r="B33" s="1" t="s">
        <v>196</v>
      </c>
      <c r="C33" s="2">
        <v>46148.335960648146</v>
      </c>
      <c r="D33" s="1" t="s">
        <v>61</v>
      </c>
      <c r="E33" s="1" t="s">
        <v>2</v>
      </c>
      <c r="F33" s="1">
        <v>1</v>
      </c>
      <c r="G33" s="1">
        <v>112800</v>
      </c>
      <c r="H33" s="20">
        <v>112800</v>
      </c>
      <c r="I33" s="3" t="s">
        <v>69</v>
      </c>
    </row>
    <row r="34" spans="2:9" x14ac:dyDescent="0.25">
      <c r="B34" s="1" t="s">
        <v>196</v>
      </c>
      <c r="C34" s="2">
        <v>46148.34171296296</v>
      </c>
      <c r="D34" s="1" t="s">
        <v>217</v>
      </c>
      <c r="E34" s="1" t="s">
        <v>4</v>
      </c>
      <c r="F34" s="1">
        <v>2</v>
      </c>
      <c r="G34" s="1">
        <v>215100</v>
      </c>
      <c r="H34" s="20">
        <v>430200</v>
      </c>
      <c r="I34" s="3" t="s">
        <v>69</v>
      </c>
    </row>
    <row r="35" spans="2:9" x14ac:dyDescent="0.25">
      <c r="B35" s="1" t="s">
        <v>196</v>
      </c>
      <c r="C35" s="2">
        <v>46148.339606481481</v>
      </c>
      <c r="D35" s="1" t="s">
        <v>218</v>
      </c>
      <c r="E35" s="1" t="s">
        <v>4</v>
      </c>
      <c r="F35" s="1">
        <v>2</v>
      </c>
      <c r="G35" s="1">
        <v>215100</v>
      </c>
      <c r="H35" s="20">
        <v>430200</v>
      </c>
      <c r="I35" s="3" t="s">
        <v>69</v>
      </c>
    </row>
    <row r="36" spans="2:9" x14ac:dyDescent="0.25">
      <c r="B36" s="1" t="s">
        <v>196</v>
      </c>
      <c r="C36" s="2">
        <v>46148.338020833333</v>
      </c>
      <c r="D36" s="1" t="s">
        <v>151</v>
      </c>
      <c r="E36" s="1" t="s">
        <v>4</v>
      </c>
      <c r="F36" s="1">
        <v>3</v>
      </c>
      <c r="G36" s="1">
        <v>215100</v>
      </c>
      <c r="H36" s="20">
        <v>645300</v>
      </c>
      <c r="I36" s="3" t="s">
        <v>69</v>
      </c>
    </row>
    <row r="37" spans="2:9" hidden="1" x14ac:dyDescent="0.25">
      <c r="B37" s="1" t="s">
        <v>196</v>
      </c>
      <c r="C37" s="2">
        <v>46148.346331018518</v>
      </c>
      <c r="D37" s="1" t="s">
        <v>219</v>
      </c>
      <c r="E37" s="1" t="s">
        <v>2</v>
      </c>
      <c r="F37" s="1">
        <v>1</v>
      </c>
      <c r="G37" s="1">
        <v>112800</v>
      </c>
      <c r="H37" s="20">
        <v>112800</v>
      </c>
      <c r="I37" s="3" t="s">
        <v>69</v>
      </c>
    </row>
    <row r="38" spans="2:9" x14ac:dyDescent="0.25">
      <c r="B38" s="1" t="s">
        <v>196</v>
      </c>
      <c r="C38" s="2">
        <v>46148.346331018518</v>
      </c>
      <c r="D38" s="1" t="s">
        <v>219</v>
      </c>
      <c r="E38" s="1" t="s">
        <v>4</v>
      </c>
      <c r="F38" s="1">
        <v>2</v>
      </c>
      <c r="G38" s="1">
        <v>215100</v>
      </c>
      <c r="H38" s="20">
        <v>430200</v>
      </c>
      <c r="I38" s="3" t="s">
        <v>69</v>
      </c>
    </row>
    <row r="39" spans="2:9" x14ac:dyDescent="0.25">
      <c r="B39" s="1" t="s">
        <v>196</v>
      </c>
      <c r="C39" s="2">
        <v>46148.333333333336</v>
      </c>
      <c r="D39" s="1" t="s">
        <v>220</v>
      </c>
      <c r="E39" s="1" t="s">
        <v>4</v>
      </c>
      <c r="F39" s="1">
        <v>1</v>
      </c>
      <c r="G39" s="1">
        <v>215100</v>
      </c>
      <c r="H39" s="20">
        <v>215100</v>
      </c>
      <c r="I39" s="3" t="s">
        <v>69</v>
      </c>
    </row>
    <row r="40" spans="2:9" hidden="1" x14ac:dyDescent="0.25">
      <c r="B40" s="1" t="s">
        <v>196</v>
      </c>
      <c r="C40" s="2">
        <v>46148.333333333336</v>
      </c>
      <c r="D40" s="1" t="s">
        <v>220</v>
      </c>
      <c r="E40" s="1" t="s">
        <v>2</v>
      </c>
      <c r="F40" s="1">
        <v>1</v>
      </c>
      <c r="G40" s="1">
        <v>112800</v>
      </c>
      <c r="H40" s="20">
        <v>112800</v>
      </c>
      <c r="I40" s="3" t="s">
        <v>69</v>
      </c>
    </row>
    <row r="41" spans="2:9" hidden="1" x14ac:dyDescent="0.25">
      <c r="B41" s="1" t="s">
        <v>196</v>
      </c>
      <c r="C41" s="2">
        <v>46148.347731481481</v>
      </c>
      <c r="D41" s="1" t="s">
        <v>221</v>
      </c>
      <c r="E41" s="1" t="s">
        <v>2</v>
      </c>
      <c r="F41" s="1">
        <v>2</v>
      </c>
      <c r="G41" s="1">
        <v>112800</v>
      </c>
      <c r="H41" s="20">
        <v>225600</v>
      </c>
      <c r="I41" s="3" t="s">
        <v>69</v>
      </c>
    </row>
    <row r="42" spans="2:9" hidden="1" x14ac:dyDescent="0.25">
      <c r="B42" s="1" t="s">
        <v>196</v>
      </c>
      <c r="C42" s="2">
        <v>46148.348576388889</v>
      </c>
      <c r="D42" s="1" t="s">
        <v>222</v>
      </c>
      <c r="E42" s="1" t="s">
        <v>2</v>
      </c>
      <c r="F42" s="1">
        <v>2</v>
      </c>
      <c r="G42" s="1">
        <v>112800</v>
      </c>
      <c r="H42" s="20">
        <v>225600</v>
      </c>
      <c r="I42" s="3" t="s">
        <v>69</v>
      </c>
    </row>
    <row r="43" spans="2:9" hidden="1" x14ac:dyDescent="0.25">
      <c r="B43" s="1" t="s">
        <v>196</v>
      </c>
      <c r="C43" s="2">
        <v>46148.34915509259</v>
      </c>
      <c r="D43" s="1" t="s">
        <v>223</v>
      </c>
      <c r="E43" s="1" t="s">
        <v>2</v>
      </c>
      <c r="F43" s="1">
        <v>1</v>
      </c>
      <c r="G43" s="1">
        <v>112800</v>
      </c>
      <c r="H43" s="20">
        <v>112800</v>
      </c>
      <c r="I43" s="3" t="s">
        <v>69</v>
      </c>
    </row>
    <row r="44" spans="2:9" x14ac:dyDescent="0.25">
      <c r="B44" s="1" t="s">
        <v>196</v>
      </c>
      <c r="C44" s="2">
        <v>46148.34915509259</v>
      </c>
      <c r="D44" s="1" t="s">
        <v>223</v>
      </c>
      <c r="E44" s="1" t="s">
        <v>4</v>
      </c>
      <c r="F44" s="1">
        <v>1</v>
      </c>
      <c r="G44" s="1">
        <v>215100</v>
      </c>
      <c r="H44" s="20">
        <v>215100</v>
      </c>
      <c r="I44" s="3" t="s">
        <v>69</v>
      </c>
    </row>
    <row r="45" spans="2:9" x14ac:dyDescent="0.25">
      <c r="B45" s="1" t="s">
        <v>196</v>
      </c>
      <c r="C45" s="2">
        <v>46148.349953703706</v>
      </c>
      <c r="D45" s="1" t="s">
        <v>224</v>
      </c>
      <c r="E45" s="1" t="s">
        <v>4</v>
      </c>
      <c r="F45" s="1">
        <v>2</v>
      </c>
      <c r="G45" s="1">
        <v>215100</v>
      </c>
      <c r="H45" s="20">
        <v>430200</v>
      </c>
      <c r="I45" s="3" t="s">
        <v>69</v>
      </c>
    </row>
    <row r="46" spans="2:9" hidden="1" x14ac:dyDescent="0.25">
      <c r="B46" s="1" t="s">
        <v>196</v>
      </c>
      <c r="C46" s="2">
        <v>46148.350763888891</v>
      </c>
      <c r="D46" s="1" t="s">
        <v>225</v>
      </c>
      <c r="E46" s="1" t="s">
        <v>2</v>
      </c>
      <c r="F46" s="1">
        <v>3</v>
      </c>
      <c r="G46" s="1">
        <v>112800</v>
      </c>
      <c r="H46" s="20">
        <v>338400</v>
      </c>
      <c r="I46" s="3" t="s">
        <v>69</v>
      </c>
    </row>
    <row r="47" spans="2:9" x14ac:dyDescent="0.25">
      <c r="B47" s="1" t="s">
        <v>196</v>
      </c>
      <c r="C47" s="2">
        <v>46148.350763888891</v>
      </c>
      <c r="D47" s="1" t="s">
        <v>225</v>
      </c>
      <c r="E47" s="1" t="s">
        <v>4</v>
      </c>
      <c r="F47" s="1">
        <v>6</v>
      </c>
      <c r="G47" s="1">
        <v>215100</v>
      </c>
      <c r="H47" s="20">
        <v>1290600</v>
      </c>
      <c r="I47" s="3" t="s">
        <v>69</v>
      </c>
    </row>
    <row r="48" spans="2:9" x14ac:dyDescent="0.25">
      <c r="B48" s="1" t="s">
        <v>196</v>
      </c>
      <c r="C48" s="2">
        <v>46148.393773148149</v>
      </c>
      <c r="D48" s="1" t="s">
        <v>226</v>
      </c>
      <c r="E48" s="1" t="s">
        <v>4</v>
      </c>
      <c r="F48" s="1">
        <v>5</v>
      </c>
      <c r="G48" s="1">
        <v>215100</v>
      </c>
      <c r="H48" s="20">
        <v>1075500</v>
      </c>
      <c r="I48" s="3" t="s">
        <v>69</v>
      </c>
    </row>
    <row r="49" spans="2:9" x14ac:dyDescent="0.25">
      <c r="B49" s="1" t="s">
        <v>196</v>
      </c>
      <c r="C49" s="2">
        <v>46149.313726851855</v>
      </c>
      <c r="D49" s="1" t="s">
        <v>227</v>
      </c>
      <c r="E49" s="1" t="s">
        <v>4</v>
      </c>
      <c r="F49" s="1">
        <v>2</v>
      </c>
      <c r="G49" s="1">
        <v>215100</v>
      </c>
      <c r="H49" s="20">
        <v>430200</v>
      </c>
      <c r="I49" s="3" t="s">
        <v>69</v>
      </c>
    </row>
    <row r="50" spans="2:9" hidden="1" x14ac:dyDescent="0.25">
      <c r="B50" s="1" t="s">
        <v>196</v>
      </c>
      <c r="C50" s="2">
        <v>46149.314328703702</v>
      </c>
      <c r="D50" s="1" t="s">
        <v>228</v>
      </c>
      <c r="E50" s="1" t="s">
        <v>2</v>
      </c>
      <c r="F50" s="1">
        <v>3</v>
      </c>
      <c r="G50" s="1">
        <v>112800</v>
      </c>
      <c r="H50" s="20">
        <v>338400</v>
      </c>
      <c r="I50" s="3" t="s">
        <v>69</v>
      </c>
    </row>
    <row r="51" spans="2:9" x14ac:dyDescent="0.25">
      <c r="B51" s="1" t="s">
        <v>196</v>
      </c>
      <c r="C51" s="2">
        <v>46149.314328703702</v>
      </c>
      <c r="D51" s="1" t="s">
        <v>228</v>
      </c>
      <c r="E51" s="1" t="s">
        <v>4</v>
      </c>
      <c r="F51" s="1">
        <v>3</v>
      </c>
      <c r="G51" s="1">
        <v>215100</v>
      </c>
      <c r="H51" s="20">
        <v>645300</v>
      </c>
      <c r="I51" s="3" t="s">
        <v>69</v>
      </c>
    </row>
    <row r="52" spans="2:9" hidden="1" x14ac:dyDescent="0.25">
      <c r="B52" s="1" t="s">
        <v>196</v>
      </c>
      <c r="C52" s="2">
        <v>46149.31490740741</v>
      </c>
      <c r="D52" s="1" t="s">
        <v>229</v>
      </c>
      <c r="E52" s="1" t="s">
        <v>4</v>
      </c>
      <c r="F52" s="1">
        <v>2</v>
      </c>
      <c r="G52" s="1">
        <v>215100</v>
      </c>
      <c r="H52" s="20">
        <v>430200</v>
      </c>
      <c r="I52" s="3" t="s">
        <v>3</v>
      </c>
    </row>
    <row r="53" spans="2:9" x14ac:dyDescent="0.25">
      <c r="B53" s="1" t="s">
        <v>196</v>
      </c>
      <c r="C53" s="2">
        <v>46149.316064814811</v>
      </c>
      <c r="D53" s="1" t="s">
        <v>230</v>
      </c>
      <c r="E53" s="1" t="s">
        <v>4</v>
      </c>
      <c r="F53" s="1">
        <v>4</v>
      </c>
      <c r="G53" s="1">
        <v>215100</v>
      </c>
      <c r="H53" s="20">
        <v>860400</v>
      </c>
      <c r="I53" s="3" t="s">
        <v>69</v>
      </c>
    </row>
    <row r="54" spans="2:9" x14ac:dyDescent="0.25">
      <c r="B54" s="1" t="s">
        <v>196</v>
      </c>
      <c r="C54" s="2">
        <v>46149.470949074072</v>
      </c>
      <c r="D54" s="1" t="s">
        <v>231</v>
      </c>
      <c r="E54" s="1" t="s">
        <v>4</v>
      </c>
      <c r="F54" s="1">
        <v>3</v>
      </c>
      <c r="G54" s="1">
        <v>215100</v>
      </c>
      <c r="H54" s="20">
        <v>645300</v>
      </c>
      <c r="I54" s="3" t="s">
        <v>69</v>
      </c>
    </row>
    <row r="55" spans="2:9" hidden="1" x14ac:dyDescent="0.25">
      <c r="B55" s="1" t="s">
        <v>196</v>
      </c>
      <c r="C55" s="2">
        <v>46149.470949074072</v>
      </c>
      <c r="D55" s="1" t="s">
        <v>231</v>
      </c>
      <c r="E55" s="1" t="s">
        <v>2</v>
      </c>
      <c r="F55" s="1">
        <v>1</v>
      </c>
      <c r="G55" s="1">
        <v>112800</v>
      </c>
      <c r="H55" s="20">
        <v>112800</v>
      </c>
      <c r="I55" s="3" t="s">
        <v>69</v>
      </c>
    </row>
    <row r="56" spans="2:9" hidden="1" x14ac:dyDescent="0.25">
      <c r="B56" s="1" t="s">
        <v>196</v>
      </c>
      <c r="C56" s="2">
        <v>46149.317569444444</v>
      </c>
      <c r="D56" s="1" t="s">
        <v>232</v>
      </c>
      <c r="E56" s="1" t="s">
        <v>2</v>
      </c>
      <c r="F56" s="1">
        <v>10</v>
      </c>
      <c r="G56" s="1">
        <v>112800</v>
      </c>
      <c r="H56" s="20">
        <v>1128000</v>
      </c>
      <c r="I56" s="3" t="s">
        <v>69</v>
      </c>
    </row>
    <row r="57" spans="2:9" x14ac:dyDescent="0.25">
      <c r="B57" s="1" t="s">
        <v>196</v>
      </c>
      <c r="C57" s="2">
        <v>46149.317569444444</v>
      </c>
      <c r="D57" s="1" t="s">
        <v>232</v>
      </c>
      <c r="E57" s="1" t="s">
        <v>4</v>
      </c>
      <c r="F57" s="1">
        <v>5</v>
      </c>
      <c r="G57" s="1">
        <v>215100</v>
      </c>
      <c r="H57" s="20">
        <v>1075500</v>
      </c>
      <c r="I57" s="3" t="s">
        <v>69</v>
      </c>
    </row>
    <row r="58" spans="2:9" hidden="1" x14ac:dyDescent="0.25">
      <c r="B58" s="1" t="s">
        <v>196</v>
      </c>
      <c r="C58" s="2">
        <v>46149.318368055552</v>
      </c>
      <c r="D58" s="1" t="s">
        <v>233</v>
      </c>
      <c r="E58" s="1" t="s">
        <v>2</v>
      </c>
      <c r="F58" s="1">
        <v>5</v>
      </c>
      <c r="G58" s="1">
        <v>112800</v>
      </c>
      <c r="H58" s="20">
        <v>564000</v>
      </c>
      <c r="I58" s="3" t="s">
        <v>69</v>
      </c>
    </row>
    <row r="59" spans="2:9" hidden="1" x14ac:dyDescent="0.25">
      <c r="B59" s="1" t="s">
        <v>196</v>
      </c>
      <c r="C59" s="2">
        <v>46149.319722222222</v>
      </c>
      <c r="D59" s="1" t="s">
        <v>234</v>
      </c>
      <c r="E59" s="1" t="s">
        <v>2</v>
      </c>
      <c r="F59" s="1">
        <v>5</v>
      </c>
      <c r="G59" s="1">
        <v>112800</v>
      </c>
      <c r="H59" s="20">
        <v>564000</v>
      </c>
      <c r="I59" s="3" t="s">
        <v>69</v>
      </c>
    </row>
    <row r="60" spans="2:9" hidden="1" x14ac:dyDescent="0.25">
      <c r="B60" s="1" t="s">
        <v>196</v>
      </c>
      <c r="C60" s="2">
        <v>46150.299861111111</v>
      </c>
      <c r="D60" s="1" t="s">
        <v>235</v>
      </c>
      <c r="E60" s="1" t="s">
        <v>2</v>
      </c>
      <c r="F60" s="1">
        <v>3</v>
      </c>
      <c r="G60" s="1">
        <v>112800</v>
      </c>
      <c r="H60" s="20">
        <v>338400</v>
      </c>
      <c r="I60" s="3" t="s">
        <v>69</v>
      </c>
    </row>
    <row r="61" spans="2:9" hidden="1" x14ac:dyDescent="0.25">
      <c r="B61" s="1" t="s">
        <v>196</v>
      </c>
      <c r="C61" s="2">
        <v>46150.300925925927</v>
      </c>
      <c r="D61" s="1" t="s">
        <v>236</v>
      </c>
      <c r="E61" s="1" t="s">
        <v>2</v>
      </c>
      <c r="F61" s="1">
        <v>5</v>
      </c>
      <c r="G61" s="1">
        <v>112800</v>
      </c>
      <c r="H61" s="20">
        <v>564000</v>
      </c>
      <c r="I61" s="3" t="s">
        <v>69</v>
      </c>
    </row>
    <row r="62" spans="2:9" x14ac:dyDescent="0.25">
      <c r="B62" s="1" t="s">
        <v>196</v>
      </c>
      <c r="C62" s="2">
        <v>46150.300925925927</v>
      </c>
      <c r="D62" s="1" t="s">
        <v>236</v>
      </c>
      <c r="E62" s="1" t="s">
        <v>4</v>
      </c>
      <c r="F62" s="1">
        <v>5</v>
      </c>
      <c r="G62" s="1">
        <v>215100</v>
      </c>
      <c r="H62" s="20">
        <v>1075500</v>
      </c>
      <c r="I62" s="3" t="s">
        <v>69</v>
      </c>
    </row>
    <row r="63" spans="2:9" hidden="1" x14ac:dyDescent="0.25">
      <c r="B63" s="1" t="s">
        <v>196</v>
      </c>
      <c r="C63" s="2">
        <v>46150.301689814813</v>
      </c>
      <c r="D63" s="1" t="s">
        <v>237</v>
      </c>
      <c r="E63" s="1" t="s">
        <v>2</v>
      </c>
      <c r="F63" s="1">
        <v>5</v>
      </c>
      <c r="G63" s="1">
        <v>112800</v>
      </c>
      <c r="H63" s="20">
        <v>564000</v>
      </c>
      <c r="I63" s="3" t="s">
        <v>69</v>
      </c>
    </row>
    <row r="64" spans="2:9" x14ac:dyDescent="0.25">
      <c r="B64" s="1" t="s">
        <v>196</v>
      </c>
      <c r="C64" s="2">
        <v>46150.301689814813</v>
      </c>
      <c r="D64" s="1" t="s">
        <v>237</v>
      </c>
      <c r="E64" s="1" t="s">
        <v>4</v>
      </c>
      <c r="F64" s="1">
        <v>5</v>
      </c>
      <c r="G64" s="1">
        <v>215100</v>
      </c>
      <c r="H64" s="20">
        <v>1075500</v>
      </c>
      <c r="I64" s="3" t="s">
        <v>69</v>
      </c>
    </row>
    <row r="65" spans="2:9" x14ac:dyDescent="0.25">
      <c r="B65" s="1" t="s">
        <v>196</v>
      </c>
      <c r="C65" s="2">
        <v>46150.302407407406</v>
      </c>
      <c r="D65" s="1" t="s">
        <v>238</v>
      </c>
      <c r="E65" s="1" t="s">
        <v>4</v>
      </c>
      <c r="F65" s="1">
        <v>5</v>
      </c>
      <c r="G65" s="1">
        <v>215100</v>
      </c>
      <c r="H65" s="20">
        <v>1075500</v>
      </c>
      <c r="I65" s="3" t="s">
        <v>69</v>
      </c>
    </row>
    <row r="66" spans="2:9" x14ac:dyDescent="0.25">
      <c r="B66" s="1" t="s">
        <v>196</v>
      </c>
      <c r="C66" s="2">
        <v>46150.303726851853</v>
      </c>
      <c r="D66" s="1" t="s">
        <v>239</v>
      </c>
      <c r="E66" s="1" t="s">
        <v>4</v>
      </c>
      <c r="F66" s="1">
        <v>2</v>
      </c>
      <c r="G66" s="1">
        <v>215100</v>
      </c>
      <c r="H66" s="20">
        <v>430200</v>
      </c>
      <c r="I66" s="3" t="s">
        <v>69</v>
      </c>
    </row>
    <row r="67" spans="2:9" x14ac:dyDescent="0.25">
      <c r="B67" s="1" t="s">
        <v>196</v>
      </c>
      <c r="C67" s="2">
        <v>46150.304212962961</v>
      </c>
      <c r="D67" s="1" t="s">
        <v>240</v>
      </c>
      <c r="E67" s="1" t="s">
        <v>4</v>
      </c>
      <c r="F67" s="1">
        <v>1</v>
      </c>
      <c r="G67" s="1">
        <v>215100</v>
      </c>
      <c r="H67" s="20">
        <v>215100</v>
      </c>
      <c r="I67" s="3" t="s">
        <v>69</v>
      </c>
    </row>
    <row r="68" spans="2:9" hidden="1" x14ac:dyDescent="0.25">
      <c r="B68" s="1" t="s">
        <v>196</v>
      </c>
      <c r="C68" s="2">
        <v>46150.304710648146</v>
      </c>
      <c r="D68" s="1" t="s">
        <v>241</v>
      </c>
      <c r="E68" s="1" t="s">
        <v>2</v>
      </c>
      <c r="F68" s="1">
        <v>1</v>
      </c>
      <c r="G68" s="1">
        <v>112800</v>
      </c>
      <c r="H68" s="20">
        <v>112800</v>
      </c>
      <c r="I68" s="3" t="s">
        <v>3</v>
      </c>
    </row>
    <row r="69" spans="2:9" hidden="1" x14ac:dyDescent="0.25">
      <c r="B69" s="1" t="s">
        <v>196</v>
      </c>
      <c r="C69" s="2">
        <v>46150.304710648146</v>
      </c>
      <c r="D69" s="1" t="s">
        <v>241</v>
      </c>
      <c r="E69" s="1" t="s">
        <v>4</v>
      </c>
      <c r="F69" s="1">
        <v>1</v>
      </c>
      <c r="G69" s="1">
        <v>215100</v>
      </c>
      <c r="H69" s="20">
        <v>215100</v>
      </c>
      <c r="I69" s="3" t="s">
        <v>3</v>
      </c>
    </row>
    <row r="70" spans="2:9" x14ac:dyDescent="0.25">
      <c r="B70" s="1" t="s">
        <v>196</v>
      </c>
      <c r="C70" s="2">
        <v>46150.331273148149</v>
      </c>
      <c r="D70" s="1" t="s">
        <v>242</v>
      </c>
      <c r="E70" s="1" t="s">
        <v>4</v>
      </c>
      <c r="F70" s="1">
        <v>1</v>
      </c>
      <c r="G70" s="1">
        <v>215100</v>
      </c>
      <c r="H70" s="20">
        <v>215100</v>
      </c>
      <c r="I70" s="3" t="s">
        <v>69</v>
      </c>
    </row>
    <row r="71" spans="2:9" x14ac:dyDescent="0.25">
      <c r="B71" s="1" t="s">
        <v>196</v>
      </c>
      <c r="C71" s="2">
        <v>46151.328136574077</v>
      </c>
      <c r="D71" s="1" t="s">
        <v>243</v>
      </c>
      <c r="E71" s="1" t="s">
        <v>4</v>
      </c>
      <c r="F71" s="1">
        <v>2</v>
      </c>
      <c r="G71" s="1">
        <v>215100</v>
      </c>
      <c r="H71" s="20">
        <v>430200</v>
      </c>
      <c r="I71" s="3" t="s">
        <v>69</v>
      </c>
    </row>
    <row r="72" spans="2:9" x14ac:dyDescent="0.25">
      <c r="B72" s="1" t="s">
        <v>196</v>
      </c>
      <c r="C72" s="2">
        <v>46151.328773148147</v>
      </c>
      <c r="D72" s="1" t="s">
        <v>244</v>
      </c>
      <c r="E72" s="1" t="s">
        <v>4</v>
      </c>
      <c r="F72" s="1">
        <v>1</v>
      </c>
      <c r="G72" s="1">
        <v>215100</v>
      </c>
      <c r="H72" s="20">
        <v>215100</v>
      </c>
      <c r="I72" s="3" t="s">
        <v>69</v>
      </c>
    </row>
    <row r="73" spans="2:9" x14ac:dyDescent="0.25">
      <c r="B73" s="1" t="s">
        <v>196</v>
      </c>
      <c r="C73" s="2">
        <v>46151.348541666666</v>
      </c>
      <c r="D73" s="1" t="s">
        <v>245</v>
      </c>
      <c r="E73" s="1" t="s">
        <v>4</v>
      </c>
      <c r="F73" s="1">
        <v>2</v>
      </c>
      <c r="G73" s="1">
        <v>215100</v>
      </c>
      <c r="H73" s="20">
        <v>430200</v>
      </c>
      <c r="I73" s="3" t="s">
        <v>69</v>
      </c>
    </row>
    <row r="74" spans="2:9" hidden="1" x14ac:dyDescent="0.25">
      <c r="B74" s="1" t="s">
        <v>196</v>
      </c>
      <c r="C74" s="2">
        <v>46151.349143518521</v>
      </c>
      <c r="D74" s="1" t="s">
        <v>246</v>
      </c>
      <c r="E74" s="1" t="s">
        <v>2</v>
      </c>
      <c r="F74" s="1">
        <v>4</v>
      </c>
      <c r="G74" s="1">
        <v>112800</v>
      </c>
      <c r="H74" s="20">
        <v>451200</v>
      </c>
      <c r="I74" s="3" t="s">
        <v>69</v>
      </c>
    </row>
    <row r="75" spans="2:9" x14ac:dyDescent="0.25">
      <c r="B75" s="1" t="s">
        <v>196</v>
      </c>
      <c r="C75" s="2">
        <v>46151.349143518521</v>
      </c>
      <c r="D75" s="1" t="s">
        <v>246</v>
      </c>
      <c r="E75" s="1" t="s">
        <v>4</v>
      </c>
      <c r="F75" s="1">
        <v>10</v>
      </c>
      <c r="G75" s="1">
        <v>215100</v>
      </c>
      <c r="H75" s="20">
        <v>2151000</v>
      </c>
      <c r="I75" s="3" t="s">
        <v>69</v>
      </c>
    </row>
    <row r="76" spans="2:9" x14ac:dyDescent="0.25">
      <c r="B76" s="1" t="s">
        <v>196</v>
      </c>
      <c r="C76" s="2">
        <v>46151.34957175926</v>
      </c>
      <c r="D76" s="1" t="s">
        <v>247</v>
      </c>
      <c r="E76" s="1" t="s">
        <v>4</v>
      </c>
      <c r="F76" s="1">
        <v>1</v>
      </c>
      <c r="G76" s="1">
        <v>215100</v>
      </c>
      <c r="H76" s="20">
        <v>215100</v>
      </c>
      <c r="I76" s="3" t="s">
        <v>69</v>
      </c>
    </row>
    <row r="77" spans="2:9" hidden="1" x14ac:dyDescent="0.25">
      <c r="B77" s="1" t="s">
        <v>196</v>
      </c>
      <c r="C77" s="2">
        <v>46151.350185185183</v>
      </c>
      <c r="D77" s="1" t="s">
        <v>248</v>
      </c>
      <c r="E77" s="1" t="s">
        <v>2</v>
      </c>
      <c r="F77" s="1">
        <v>50</v>
      </c>
      <c r="G77" s="1">
        <v>112800</v>
      </c>
      <c r="H77" s="20">
        <v>5640000</v>
      </c>
      <c r="I77" s="3" t="s">
        <v>69</v>
      </c>
    </row>
    <row r="78" spans="2:9" x14ac:dyDescent="0.25">
      <c r="B78" s="1" t="s">
        <v>196</v>
      </c>
      <c r="C78" s="2">
        <v>46151.350185185183</v>
      </c>
      <c r="D78" s="1" t="s">
        <v>248</v>
      </c>
      <c r="E78" s="1" t="s">
        <v>4</v>
      </c>
      <c r="F78" s="1">
        <v>50</v>
      </c>
      <c r="G78" s="1">
        <v>215100</v>
      </c>
      <c r="H78" s="20">
        <v>10755000</v>
      </c>
      <c r="I78" s="3" t="s">
        <v>69</v>
      </c>
    </row>
    <row r="79" spans="2:9" x14ac:dyDescent="0.25">
      <c r="B79" s="1" t="s">
        <v>196</v>
      </c>
      <c r="C79" s="2">
        <v>46153.319849537038</v>
      </c>
      <c r="D79" s="1" t="s">
        <v>249</v>
      </c>
      <c r="E79" s="1" t="s">
        <v>4</v>
      </c>
      <c r="F79" s="1">
        <v>3</v>
      </c>
      <c r="G79" s="1">
        <v>215100</v>
      </c>
      <c r="H79" s="20">
        <v>645300</v>
      </c>
      <c r="I79" s="3" t="s">
        <v>69</v>
      </c>
    </row>
    <row r="80" spans="2:9" x14ac:dyDescent="0.25">
      <c r="B80" s="1" t="s">
        <v>196</v>
      </c>
      <c r="C80" s="2">
        <v>46153.320335648146</v>
      </c>
      <c r="D80" s="1" t="s">
        <v>250</v>
      </c>
      <c r="E80" s="1" t="s">
        <v>4</v>
      </c>
      <c r="F80" s="1">
        <v>15</v>
      </c>
      <c r="G80" s="1">
        <v>215100</v>
      </c>
      <c r="H80" s="20">
        <v>3226500</v>
      </c>
      <c r="I80" s="3" t="s">
        <v>69</v>
      </c>
    </row>
    <row r="81" spans="2:9" x14ac:dyDescent="0.25">
      <c r="B81" s="1" t="s">
        <v>196</v>
      </c>
      <c r="C81" s="2">
        <v>46151.329837962963</v>
      </c>
      <c r="D81" s="1" t="s">
        <v>251</v>
      </c>
      <c r="E81" s="1" t="s">
        <v>4</v>
      </c>
      <c r="F81" s="1">
        <v>1</v>
      </c>
      <c r="G81" s="1">
        <v>215100</v>
      </c>
      <c r="H81" s="20">
        <v>215100</v>
      </c>
      <c r="I81" s="3" t="s">
        <v>69</v>
      </c>
    </row>
    <row r="82" spans="2:9" x14ac:dyDescent="0.25">
      <c r="B82" s="1" t="s">
        <v>196</v>
      </c>
      <c r="C82" s="2">
        <v>46154.330370370371</v>
      </c>
      <c r="D82" s="1" t="s">
        <v>252</v>
      </c>
      <c r="E82" s="1" t="s">
        <v>4</v>
      </c>
      <c r="F82" s="1">
        <v>2</v>
      </c>
      <c r="G82" s="1">
        <v>215100</v>
      </c>
      <c r="H82" s="20">
        <v>430200</v>
      </c>
      <c r="I82" s="3" t="s">
        <v>69</v>
      </c>
    </row>
    <row r="83" spans="2:9" x14ac:dyDescent="0.25">
      <c r="B83" s="1" t="s">
        <v>196</v>
      </c>
      <c r="C83" s="2">
        <v>46154.352268518516</v>
      </c>
      <c r="D83" s="1" t="s">
        <v>253</v>
      </c>
      <c r="E83" s="1" t="s">
        <v>4</v>
      </c>
      <c r="F83" s="1">
        <v>2</v>
      </c>
      <c r="G83" s="1">
        <v>215100</v>
      </c>
      <c r="H83" s="20">
        <v>430200</v>
      </c>
      <c r="I83" s="3" t="s">
        <v>69</v>
      </c>
    </row>
    <row r="84" spans="2:9" hidden="1" x14ac:dyDescent="0.25">
      <c r="B84" s="1" t="s">
        <v>196</v>
      </c>
      <c r="C84" s="2">
        <v>46154.353113425925</v>
      </c>
      <c r="D84" s="1" t="s">
        <v>254</v>
      </c>
      <c r="E84" s="1" t="s">
        <v>2</v>
      </c>
      <c r="F84" s="1">
        <v>1</v>
      </c>
      <c r="G84" s="1">
        <v>112800</v>
      </c>
      <c r="H84" s="20">
        <v>112800</v>
      </c>
      <c r="I84" s="3" t="s">
        <v>69</v>
      </c>
    </row>
    <row r="85" spans="2:9" x14ac:dyDescent="0.25">
      <c r="B85" s="1" t="s">
        <v>196</v>
      </c>
      <c r="C85" s="2">
        <v>46154.353541666664</v>
      </c>
      <c r="D85" s="1" t="s">
        <v>255</v>
      </c>
      <c r="E85" s="1" t="s">
        <v>4</v>
      </c>
      <c r="F85" s="1">
        <v>1</v>
      </c>
      <c r="G85" s="1">
        <v>215100</v>
      </c>
      <c r="H85" s="20">
        <v>215100</v>
      </c>
      <c r="I85" s="3" t="s">
        <v>69</v>
      </c>
    </row>
    <row r="86" spans="2:9" hidden="1" x14ac:dyDescent="0.25">
      <c r="B86" s="1" t="s">
        <v>196</v>
      </c>
      <c r="C86" s="2">
        <v>46154.35491898148</v>
      </c>
      <c r="D86" s="1" t="s">
        <v>256</v>
      </c>
      <c r="E86" s="1" t="s">
        <v>2</v>
      </c>
      <c r="F86" s="1">
        <v>1</v>
      </c>
      <c r="G86" s="1">
        <v>112800</v>
      </c>
      <c r="H86" s="20">
        <v>112800</v>
      </c>
      <c r="I86" s="3" t="s">
        <v>69</v>
      </c>
    </row>
    <row r="87" spans="2:9" x14ac:dyDescent="0.25">
      <c r="B87" s="1" t="s">
        <v>196</v>
      </c>
      <c r="C87" s="2">
        <v>46154.35491898148</v>
      </c>
      <c r="D87" s="1" t="s">
        <v>256</v>
      </c>
      <c r="E87" s="1" t="s">
        <v>4</v>
      </c>
      <c r="F87" s="1">
        <v>2</v>
      </c>
      <c r="G87" s="1">
        <v>215100</v>
      </c>
      <c r="H87" s="20">
        <v>430200</v>
      </c>
      <c r="I87" s="3" t="s">
        <v>69</v>
      </c>
    </row>
    <row r="88" spans="2:9" hidden="1" x14ac:dyDescent="0.25">
      <c r="B88" s="1" t="s">
        <v>196</v>
      </c>
      <c r="C88" s="2">
        <v>46154.357986111114</v>
      </c>
      <c r="D88" s="1" t="s">
        <v>61</v>
      </c>
      <c r="E88" s="1" t="s">
        <v>2</v>
      </c>
      <c r="F88" s="1">
        <v>2</v>
      </c>
      <c r="G88" s="1">
        <v>112800</v>
      </c>
      <c r="H88" s="20">
        <v>225600</v>
      </c>
      <c r="I88" s="3" t="s">
        <v>69</v>
      </c>
    </row>
    <row r="89" spans="2:9" x14ac:dyDescent="0.25">
      <c r="B89" s="1" t="s">
        <v>196</v>
      </c>
      <c r="C89" s="2">
        <v>46154.357986111114</v>
      </c>
      <c r="D89" s="1" t="s">
        <v>61</v>
      </c>
      <c r="E89" s="1" t="s">
        <v>4</v>
      </c>
      <c r="F89" s="1">
        <v>2</v>
      </c>
      <c r="G89" s="1">
        <v>215100</v>
      </c>
      <c r="H89" s="20">
        <v>430200</v>
      </c>
      <c r="I89" s="3" t="s">
        <v>69</v>
      </c>
    </row>
    <row r="90" spans="2:9" hidden="1" x14ac:dyDescent="0.25">
      <c r="B90" s="1" t="s">
        <v>196</v>
      </c>
      <c r="C90" s="2">
        <v>46154.358912037038</v>
      </c>
      <c r="D90" s="1" t="s">
        <v>257</v>
      </c>
      <c r="E90" s="1" t="s">
        <v>2</v>
      </c>
      <c r="F90" s="1">
        <v>2</v>
      </c>
      <c r="G90" s="1">
        <v>112800</v>
      </c>
      <c r="H90" s="20">
        <v>225600</v>
      </c>
      <c r="I90" s="3" t="s">
        <v>69</v>
      </c>
    </row>
    <row r="91" spans="2:9" hidden="1" x14ac:dyDescent="0.25">
      <c r="B91" s="1" t="s">
        <v>196</v>
      </c>
      <c r="C91" s="2">
        <v>46154.32230324074</v>
      </c>
      <c r="D91" s="1" t="s">
        <v>258</v>
      </c>
      <c r="E91" s="1" t="s">
        <v>2</v>
      </c>
      <c r="F91" s="1">
        <v>5</v>
      </c>
      <c r="G91" s="1">
        <v>112800</v>
      </c>
      <c r="H91" s="20">
        <v>564000</v>
      </c>
      <c r="I91" s="3" t="s">
        <v>69</v>
      </c>
    </row>
    <row r="92" spans="2:9" x14ac:dyDescent="0.25">
      <c r="B92" s="1" t="s">
        <v>196</v>
      </c>
      <c r="C92" s="2">
        <v>46155.313587962963</v>
      </c>
      <c r="D92" s="1" t="s">
        <v>259</v>
      </c>
      <c r="E92" s="1" t="s">
        <v>4</v>
      </c>
      <c r="F92" s="1">
        <v>1</v>
      </c>
      <c r="G92" s="1">
        <v>215100</v>
      </c>
      <c r="H92" s="20">
        <v>215100</v>
      </c>
      <c r="I92" s="3" t="s">
        <v>69</v>
      </c>
    </row>
    <row r="93" spans="2:9" x14ac:dyDescent="0.25">
      <c r="B93" s="1" t="s">
        <v>196</v>
      </c>
      <c r="C93" s="2">
        <v>46155.314930555556</v>
      </c>
      <c r="D93" s="1" t="s">
        <v>260</v>
      </c>
      <c r="E93" s="1" t="s">
        <v>4</v>
      </c>
      <c r="F93" s="1">
        <v>1</v>
      </c>
      <c r="G93" s="1">
        <v>215100</v>
      </c>
      <c r="H93" s="20">
        <v>215100</v>
      </c>
      <c r="I93" s="3" t="s">
        <v>69</v>
      </c>
    </row>
    <row r="94" spans="2:9" hidden="1" x14ac:dyDescent="0.25">
      <c r="B94" s="1" t="s">
        <v>196</v>
      </c>
      <c r="C94" s="2">
        <v>46155.315428240741</v>
      </c>
      <c r="D94" s="1" t="s">
        <v>261</v>
      </c>
      <c r="E94" s="1" t="s">
        <v>2</v>
      </c>
      <c r="F94" s="1">
        <v>1</v>
      </c>
      <c r="G94" s="1">
        <v>113600</v>
      </c>
      <c r="H94" s="20">
        <v>113600</v>
      </c>
      <c r="I94" s="3" t="s">
        <v>3</v>
      </c>
    </row>
    <row r="95" spans="2:9" x14ac:dyDescent="0.25">
      <c r="B95" s="1" t="s">
        <v>196</v>
      </c>
      <c r="C95" s="2">
        <v>46155.316157407404</v>
      </c>
      <c r="D95" s="1" t="s">
        <v>262</v>
      </c>
      <c r="E95" s="1" t="s">
        <v>4</v>
      </c>
      <c r="F95" s="1">
        <v>5</v>
      </c>
      <c r="G95" s="1">
        <v>215100</v>
      </c>
      <c r="H95" s="20">
        <v>1075500</v>
      </c>
      <c r="I95" s="3" t="s">
        <v>69</v>
      </c>
    </row>
    <row r="96" spans="2:9" x14ac:dyDescent="0.25">
      <c r="B96" s="1" t="s">
        <v>196</v>
      </c>
      <c r="C96" s="2">
        <v>46155.317118055558</v>
      </c>
      <c r="D96" s="1" t="s">
        <v>263</v>
      </c>
      <c r="E96" s="1" t="s">
        <v>4</v>
      </c>
      <c r="F96" s="1">
        <v>2</v>
      </c>
      <c r="G96" s="1">
        <v>215100</v>
      </c>
      <c r="H96" s="20">
        <v>430200</v>
      </c>
      <c r="I96" s="3" t="s">
        <v>69</v>
      </c>
    </row>
    <row r="97" spans="2:9" hidden="1" x14ac:dyDescent="0.25">
      <c r="B97" s="1" t="s">
        <v>196</v>
      </c>
      <c r="C97" s="2">
        <v>46155.317731481482</v>
      </c>
      <c r="D97" s="1" t="s">
        <v>264</v>
      </c>
      <c r="E97" s="1" t="s">
        <v>2</v>
      </c>
      <c r="F97" s="1">
        <v>3</v>
      </c>
      <c r="G97" s="1">
        <v>113600</v>
      </c>
      <c r="H97" s="20">
        <v>340800</v>
      </c>
      <c r="I97" s="3" t="s">
        <v>69</v>
      </c>
    </row>
    <row r="98" spans="2:9" hidden="1" x14ac:dyDescent="0.25">
      <c r="B98" s="1" t="s">
        <v>196</v>
      </c>
      <c r="C98" s="2">
        <v>46155.319710648146</v>
      </c>
      <c r="D98" s="1" t="s">
        <v>265</v>
      </c>
      <c r="E98" s="1" t="s">
        <v>2</v>
      </c>
      <c r="F98" s="1">
        <v>1</v>
      </c>
      <c r="G98" s="1">
        <v>113600</v>
      </c>
      <c r="H98" s="20">
        <v>113600</v>
      </c>
      <c r="I98" s="3" t="s">
        <v>69</v>
      </c>
    </row>
    <row r="99" spans="2:9" x14ac:dyDescent="0.25">
      <c r="B99" s="1" t="s">
        <v>196</v>
      </c>
      <c r="C99" s="2">
        <v>46155.319710648146</v>
      </c>
      <c r="D99" s="1" t="s">
        <v>265</v>
      </c>
      <c r="E99" s="1" t="s">
        <v>4</v>
      </c>
      <c r="F99" s="1">
        <v>1</v>
      </c>
      <c r="G99" s="1">
        <v>215100</v>
      </c>
      <c r="H99" s="20">
        <v>215100</v>
      </c>
      <c r="I99" s="3" t="s">
        <v>69</v>
      </c>
    </row>
    <row r="100" spans="2:9" x14ac:dyDescent="0.25">
      <c r="B100" s="1" t="s">
        <v>196</v>
      </c>
      <c r="C100" s="2">
        <v>46156.342835648145</v>
      </c>
      <c r="D100" s="1" t="s">
        <v>266</v>
      </c>
      <c r="E100" s="1" t="s">
        <v>4</v>
      </c>
      <c r="F100" s="1">
        <v>1</v>
      </c>
      <c r="G100" s="1">
        <v>215100</v>
      </c>
      <c r="H100" s="20">
        <v>215100</v>
      </c>
      <c r="I100" s="3" t="s">
        <v>69</v>
      </c>
    </row>
    <row r="101" spans="2:9" x14ac:dyDescent="0.25">
      <c r="B101" s="1" t="s">
        <v>196</v>
      </c>
      <c r="C101" s="2">
        <v>46156.343518518515</v>
      </c>
      <c r="D101" s="1" t="s">
        <v>267</v>
      </c>
      <c r="E101" s="1" t="s">
        <v>4</v>
      </c>
      <c r="F101" s="1">
        <v>3</v>
      </c>
      <c r="G101" s="1">
        <v>215100</v>
      </c>
      <c r="H101" s="20">
        <v>645300</v>
      </c>
      <c r="I101" s="3" t="s">
        <v>69</v>
      </c>
    </row>
    <row r="102" spans="2:9" x14ac:dyDescent="0.25">
      <c r="B102" s="1" t="s">
        <v>196</v>
      </c>
      <c r="C102" s="2">
        <v>46156.344166666669</v>
      </c>
      <c r="D102" s="1" t="s">
        <v>268</v>
      </c>
      <c r="E102" s="1" t="s">
        <v>4</v>
      </c>
      <c r="F102" s="1">
        <v>4</v>
      </c>
      <c r="G102" s="1">
        <v>215100</v>
      </c>
      <c r="H102" s="20">
        <v>860400</v>
      </c>
      <c r="I102" s="3" t="s">
        <v>69</v>
      </c>
    </row>
    <row r="103" spans="2:9" hidden="1" x14ac:dyDescent="0.25">
      <c r="B103" s="1" t="s">
        <v>196</v>
      </c>
      <c r="C103" s="2">
        <v>46156.345601851855</v>
      </c>
      <c r="D103" s="1" t="s">
        <v>269</v>
      </c>
      <c r="E103" s="1" t="s">
        <v>2</v>
      </c>
      <c r="F103" s="1">
        <v>2</v>
      </c>
      <c r="G103" s="1">
        <v>113600</v>
      </c>
      <c r="H103" s="20">
        <v>227200</v>
      </c>
      <c r="I103" s="3" t="s">
        <v>69</v>
      </c>
    </row>
    <row r="104" spans="2:9" x14ac:dyDescent="0.25">
      <c r="B104" s="1" t="s">
        <v>196</v>
      </c>
      <c r="C104" s="2">
        <v>46156.345601851855</v>
      </c>
      <c r="D104" s="1" t="s">
        <v>269</v>
      </c>
      <c r="E104" s="1" t="s">
        <v>4</v>
      </c>
      <c r="F104" s="1">
        <v>3</v>
      </c>
      <c r="G104" s="1">
        <v>215100</v>
      </c>
      <c r="H104" s="20">
        <v>645300</v>
      </c>
      <c r="I104" s="3" t="s">
        <v>69</v>
      </c>
    </row>
    <row r="105" spans="2:9" x14ac:dyDescent="0.25">
      <c r="B105" s="1" t="s">
        <v>196</v>
      </c>
      <c r="C105" s="2">
        <v>46156.346354166664</v>
      </c>
      <c r="D105" s="1" t="s">
        <v>270</v>
      </c>
      <c r="E105" s="1" t="s">
        <v>4</v>
      </c>
      <c r="F105" s="1">
        <v>2</v>
      </c>
      <c r="G105" s="1">
        <v>215100</v>
      </c>
      <c r="H105" s="20">
        <v>430200</v>
      </c>
      <c r="I105" s="3" t="s">
        <v>69</v>
      </c>
    </row>
    <row r="106" spans="2:9" hidden="1" x14ac:dyDescent="0.25">
      <c r="B106" s="1" t="s">
        <v>196</v>
      </c>
      <c r="C106" s="2">
        <v>46156.316145833334</v>
      </c>
      <c r="D106" s="1" t="s">
        <v>271</v>
      </c>
      <c r="E106" s="1" t="s">
        <v>2</v>
      </c>
      <c r="F106" s="1">
        <v>15</v>
      </c>
      <c r="G106" s="1">
        <v>113600</v>
      </c>
      <c r="H106" s="20">
        <v>1704000</v>
      </c>
      <c r="I106" s="3" t="s">
        <v>69</v>
      </c>
    </row>
    <row r="107" spans="2:9" x14ac:dyDescent="0.25">
      <c r="B107" s="1" t="s">
        <v>196</v>
      </c>
      <c r="C107" s="2">
        <v>46157.367731481485</v>
      </c>
      <c r="D107" s="1" t="s">
        <v>272</v>
      </c>
      <c r="E107" s="1" t="s">
        <v>4</v>
      </c>
      <c r="F107" s="1">
        <v>2</v>
      </c>
      <c r="G107" s="1">
        <v>215100</v>
      </c>
      <c r="H107" s="20">
        <v>430200</v>
      </c>
      <c r="I107" s="3" t="s">
        <v>69</v>
      </c>
    </row>
    <row r="108" spans="2:9" x14ac:dyDescent="0.25">
      <c r="B108" s="1" t="s">
        <v>196</v>
      </c>
      <c r="C108" s="2">
        <v>46157.368506944447</v>
      </c>
      <c r="D108" s="1" t="s">
        <v>273</v>
      </c>
      <c r="E108" s="1" t="s">
        <v>4</v>
      </c>
      <c r="F108" s="1">
        <v>4</v>
      </c>
      <c r="G108" s="1">
        <v>215100</v>
      </c>
      <c r="H108" s="20">
        <v>860400</v>
      </c>
      <c r="I108" s="3" t="s">
        <v>69</v>
      </c>
    </row>
    <row r="109" spans="2:9" x14ac:dyDescent="0.25">
      <c r="B109" s="1" t="s">
        <v>196</v>
      </c>
      <c r="C109" s="2">
        <v>46157.314525462964</v>
      </c>
      <c r="D109" s="1" t="s">
        <v>274</v>
      </c>
      <c r="E109" s="1" t="s">
        <v>4</v>
      </c>
      <c r="F109" s="1">
        <v>10</v>
      </c>
      <c r="G109" s="1">
        <v>215100</v>
      </c>
      <c r="H109" s="20">
        <v>2151000</v>
      </c>
      <c r="I109" s="3" t="s">
        <v>69</v>
      </c>
    </row>
    <row r="110" spans="2:9" hidden="1" x14ac:dyDescent="0.25">
      <c r="B110" s="1" t="s">
        <v>196</v>
      </c>
      <c r="C110" s="2">
        <v>46158.363078703704</v>
      </c>
      <c r="D110" s="1" t="s">
        <v>275</v>
      </c>
      <c r="E110" s="1" t="s">
        <v>2</v>
      </c>
      <c r="F110" s="1">
        <v>2</v>
      </c>
      <c r="G110" s="1">
        <v>113600</v>
      </c>
      <c r="H110" s="20">
        <v>227200</v>
      </c>
      <c r="I110" s="3" t="s">
        <v>69</v>
      </c>
    </row>
    <row r="111" spans="2:9" hidden="1" x14ac:dyDescent="0.25">
      <c r="B111" s="1" t="s">
        <v>196</v>
      </c>
      <c r="C111" s="2">
        <v>46158.364537037036</v>
      </c>
      <c r="D111" s="1" t="s">
        <v>276</v>
      </c>
      <c r="E111" s="1" t="s">
        <v>2</v>
      </c>
      <c r="F111" s="1">
        <v>2</v>
      </c>
      <c r="G111" s="1">
        <v>113600</v>
      </c>
      <c r="H111" s="20">
        <v>227200</v>
      </c>
      <c r="I111" s="3" t="s">
        <v>69</v>
      </c>
    </row>
    <row r="112" spans="2:9" x14ac:dyDescent="0.25">
      <c r="B112" s="1" t="s">
        <v>196</v>
      </c>
      <c r="C112" s="2">
        <v>46158.364537037036</v>
      </c>
      <c r="D112" s="1" t="s">
        <v>276</v>
      </c>
      <c r="E112" s="1" t="s">
        <v>4</v>
      </c>
      <c r="F112" s="1">
        <v>3</v>
      </c>
      <c r="G112" s="1">
        <v>215100</v>
      </c>
      <c r="H112" s="20">
        <v>645300</v>
      </c>
      <c r="I112" s="3" t="s">
        <v>69</v>
      </c>
    </row>
    <row r="113" spans="2:9" hidden="1" x14ac:dyDescent="0.25">
      <c r="B113" s="1" t="s">
        <v>196</v>
      </c>
      <c r="C113" s="2">
        <v>46158.323159722226</v>
      </c>
      <c r="D113" s="1" t="s">
        <v>277</v>
      </c>
      <c r="E113" s="1" t="s">
        <v>2</v>
      </c>
      <c r="F113" s="1">
        <v>1</v>
      </c>
      <c r="G113" s="1">
        <v>113600</v>
      </c>
      <c r="H113" s="20">
        <v>113600</v>
      </c>
      <c r="I113" s="3" t="s">
        <v>3</v>
      </c>
    </row>
    <row r="114" spans="2:9" hidden="1" x14ac:dyDescent="0.25">
      <c r="B114" s="1" t="s">
        <v>196</v>
      </c>
      <c r="C114" s="2">
        <v>46158.367638888885</v>
      </c>
      <c r="D114" s="1" t="s">
        <v>203</v>
      </c>
      <c r="E114" s="1" t="s">
        <v>2</v>
      </c>
      <c r="F114" s="1">
        <v>1</v>
      </c>
      <c r="G114" s="1">
        <v>113600</v>
      </c>
      <c r="H114" s="20">
        <v>113600</v>
      </c>
      <c r="I114" s="3" t="s">
        <v>69</v>
      </c>
    </row>
    <row r="115" spans="2:9" x14ac:dyDescent="0.25">
      <c r="B115" s="1" t="s">
        <v>196</v>
      </c>
      <c r="C115" s="2">
        <v>46158.367638888885</v>
      </c>
      <c r="D115" s="1" t="s">
        <v>203</v>
      </c>
      <c r="E115" s="1" t="s">
        <v>4</v>
      </c>
      <c r="F115" s="1">
        <v>1</v>
      </c>
      <c r="G115" s="1">
        <v>215100</v>
      </c>
      <c r="H115" s="20">
        <v>215100</v>
      </c>
      <c r="I115" s="3" t="s">
        <v>69</v>
      </c>
    </row>
    <row r="116" spans="2:9" hidden="1" x14ac:dyDescent="0.25">
      <c r="B116" s="1" t="s">
        <v>196</v>
      </c>
      <c r="C116" s="2">
        <v>46158.368483796294</v>
      </c>
      <c r="D116" s="1" t="s">
        <v>202</v>
      </c>
      <c r="E116" s="1" t="s">
        <v>2</v>
      </c>
      <c r="F116" s="1">
        <v>1</v>
      </c>
      <c r="G116" s="1">
        <v>113600</v>
      </c>
      <c r="H116" s="20">
        <v>113600</v>
      </c>
      <c r="I116" s="3" t="s">
        <v>3</v>
      </c>
    </row>
    <row r="117" spans="2:9" hidden="1" x14ac:dyDescent="0.25">
      <c r="B117" s="1" t="s">
        <v>196</v>
      </c>
      <c r="C117" s="2">
        <v>46158.368483796294</v>
      </c>
      <c r="D117" s="1" t="s">
        <v>202</v>
      </c>
      <c r="E117" s="1" t="s">
        <v>4</v>
      </c>
      <c r="F117" s="1">
        <v>2</v>
      </c>
      <c r="G117" s="1">
        <v>215100</v>
      </c>
      <c r="H117" s="20">
        <v>430200</v>
      </c>
      <c r="I117" s="3" t="s">
        <v>3</v>
      </c>
    </row>
    <row r="118" spans="2:9" hidden="1" x14ac:dyDescent="0.25">
      <c r="B118" s="1" t="s">
        <v>196</v>
      </c>
      <c r="C118" s="2">
        <v>46160.37605324074</v>
      </c>
      <c r="D118" s="1" t="s">
        <v>204</v>
      </c>
      <c r="E118" s="1" t="s">
        <v>2</v>
      </c>
      <c r="F118" s="1">
        <v>1</v>
      </c>
      <c r="G118" s="1">
        <v>113600</v>
      </c>
      <c r="H118" s="20">
        <v>113600</v>
      </c>
      <c r="I118" s="3" t="s">
        <v>69</v>
      </c>
    </row>
    <row r="119" spans="2:9" x14ac:dyDescent="0.25">
      <c r="B119" s="1" t="s">
        <v>196</v>
      </c>
      <c r="C119" s="2">
        <v>46160.37605324074</v>
      </c>
      <c r="D119" s="1" t="s">
        <v>204</v>
      </c>
      <c r="E119" s="1" t="s">
        <v>4</v>
      </c>
      <c r="F119" s="1">
        <v>2</v>
      </c>
      <c r="G119" s="1">
        <v>215100</v>
      </c>
      <c r="H119" s="20">
        <v>430200</v>
      </c>
      <c r="I119" s="3" t="s">
        <v>69</v>
      </c>
    </row>
    <row r="120" spans="2:9" hidden="1" x14ac:dyDescent="0.25">
      <c r="B120" s="1" t="s">
        <v>196</v>
      </c>
      <c r="C120" s="2">
        <v>46160.377685185187</v>
      </c>
      <c r="D120" s="1" t="s">
        <v>205</v>
      </c>
      <c r="E120" s="1" t="s">
        <v>2</v>
      </c>
      <c r="F120" s="1">
        <v>3</v>
      </c>
      <c r="G120" s="1">
        <v>113600</v>
      </c>
      <c r="H120" s="20">
        <v>340800</v>
      </c>
      <c r="I120" s="3" t="s">
        <v>69</v>
      </c>
    </row>
    <row r="121" spans="2:9" x14ac:dyDescent="0.25">
      <c r="B121" s="1" t="s">
        <v>196</v>
      </c>
      <c r="C121" s="2">
        <v>46160.377685185187</v>
      </c>
      <c r="D121" s="1" t="s">
        <v>205</v>
      </c>
      <c r="E121" s="1" t="s">
        <v>4</v>
      </c>
      <c r="F121" s="1">
        <v>5</v>
      </c>
      <c r="G121" s="1">
        <v>215100</v>
      </c>
      <c r="H121" s="20">
        <v>1075500</v>
      </c>
      <c r="I121" s="3" t="s">
        <v>69</v>
      </c>
    </row>
    <row r="122" spans="2:9" hidden="1" x14ac:dyDescent="0.25">
      <c r="B122" s="1" t="s">
        <v>196</v>
      </c>
      <c r="C122" s="2">
        <v>46160.378969907404</v>
      </c>
      <c r="D122" s="1" t="s">
        <v>278</v>
      </c>
      <c r="E122" s="1" t="s">
        <v>4</v>
      </c>
      <c r="F122" s="1">
        <v>1</v>
      </c>
      <c r="G122" s="1">
        <v>215100</v>
      </c>
      <c r="H122" s="20">
        <v>215100</v>
      </c>
      <c r="I122" s="3" t="s">
        <v>3</v>
      </c>
    </row>
    <row r="123" spans="2:9" x14ac:dyDescent="0.25">
      <c r="B123" s="1" t="s">
        <v>196</v>
      </c>
      <c r="C123" s="2">
        <v>46160.379629629628</v>
      </c>
      <c r="D123" s="1" t="s">
        <v>206</v>
      </c>
      <c r="E123" s="1" t="s">
        <v>4</v>
      </c>
      <c r="F123" s="1">
        <v>10</v>
      </c>
      <c r="G123" s="1">
        <v>215100</v>
      </c>
      <c r="H123" s="20">
        <v>2151000</v>
      </c>
      <c r="I123" s="3" t="s">
        <v>69</v>
      </c>
    </row>
    <row r="124" spans="2:9" x14ac:dyDescent="0.25">
      <c r="B124" s="1" t="s">
        <v>196</v>
      </c>
      <c r="C124" s="2">
        <v>46161.323900462965</v>
      </c>
      <c r="D124" s="1" t="s">
        <v>209</v>
      </c>
      <c r="E124" s="1" t="s">
        <v>4</v>
      </c>
      <c r="F124" s="1">
        <v>2</v>
      </c>
      <c r="G124" s="1">
        <v>215100</v>
      </c>
      <c r="H124" s="20">
        <v>430200</v>
      </c>
      <c r="I124" s="3" t="s">
        <v>69</v>
      </c>
    </row>
    <row r="125" spans="2:9" x14ac:dyDescent="0.25">
      <c r="B125" s="1" t="s">
        <v>196</v>
      </c>
      <c r="C125" s="2">
        <v>46161.324571759258</v>
      </c>
      <c r="D125" s="1" t="s">
        <v>211</v>
      </c>
      <c r="E125" s="1" t="s">
        <v>4</v>
      </c>
      <c r="F125" s="1">
        <v>2</v>
      </c>
      <c r="G125" s="1">
        <v>215100</v>
      </c>
      <c r="H125" s="20">
        <v>430200</v>
      </c>
      <c r="I125" s="3" t="s">
        <v>69</v>
      </c>
    </row>
    <row r="126" spans="2:9" hidden="1" x14ac:dyDescent="0.25">
      <c r="B126" s="1" t="s">
        <v>196</v>
      </c>
      <c r="C126" s="2">
        <v>46161.332175925927</v>
      </c>
      <c r="D126" s="1" t="s">
        <v>279</v>
      </c>
      <c r="E126" s="1" t="s">
        <v>2</v>
      </c>
      <c r="F126" s="1">
        <v>1</v>
      </c>
      <c r="G126" s="1">
        <v>113600</v>
      </c>
      <c r="H126" s="20">
        <v>113600</v>
      </c>
      <c r="I126" s="3" t="s">
        <v>69</v>
      </c>
    </row>
    <row r="127" spans="2:9" x14ac:dyDescent="0.25">
      <c r="B127" s="1" t="s">
        <v>196</v>
      </c>
      <c r="C127" s="2">
        <v>46161.332175925927</v>
      </c>
      <c r="D127" s="1" t="s">
        <v>279</v>
      </c>
      <c r="E127" s="1" t="s">
        <v>4</v>
      </c>
      <c r="F127" s="1">
        <v>2</v>
      </c>
      <c r="G127" s="1">
        <v>215100</v>
      </c>
      <c r="H127" s="20">
        <v>430200</v>
      </c>
      <c r="I127" s="3" t="s">
        <v>69</v>
      </c>
    </row>
    <row r="128" spans="2:9" x14ac:dyDescent="0.25">
      <c r="B128" s="1" t="s">
        <v>196</v>
      </c>
      <c r="C128" s="2">
        <v>46161.328067129631</v>
      </c>
      <c r="D128" s="1" t="s">
        <v>212</v>
      </c>
      <c r="E128" s="1" t="s">
        <v>4</v>
      </c>
      <c r="F128" s="1">
        <v>2</v>
      </c>
      <c r="G128" s="1">
        <v>215100</v>
      </c>
      <c r="H128" s="20">
        <v>430200</v>
      </c>
      <c r="I128" s="3" t="s">
        <v>69</v>
      </c>
    </row>
    <row r="129" spans="2:9" x14ac:dyDescent="0.25">
      <c r="B129" s="1" t="s">
        <v>196</v>
      </c>
      <c r="C129" s="2">
        <v>46161.328715277778</v>
      </c>
      <c r="D129" s="1" t="s">
        <v>213</v>
      </c>
      <c r="E129" s="1" t="s">
        <v>4</v>
      </c>
      <c r="F129" s="1">
        <v>2</v>
      </c>
      <c r="G129" s="1">
        <v>215100</v>
      </c>
      <c r="H129" s="20">
        <v>430200</v>
      </c>
      <c r="I129" s="3" t="s">
        <v>69</v>
      </c>
    </row>
    <row r="130" spans="2:9" x14ac:dyDescent="0.25">
      <c r="B130" s="1" t="s">
        <v>196</v>
      </c>
      <c r="C130" s="2">
        <v>46161.329456018517</v>
      </c>
      <c r="D130" s="1" t="s">
        <v>280</v>
      </c>
      <c r="E130" s="1" t="s">
        <v>4</v>
      </c>
      <c r="F130" s="1">
        <v>2</v>
      </c>
      <c r="G130" s="1">
        <v>215100</v>
      </c>
      <c r="H130" s="20">
        <v>430200</v>
      </c>
      <c r="I130" s="3" t="s">
        <v>69</v>
      </c>
    </row>
    <row r="131" spans="2:9" x14ac:dyDescent="0.25">
      <c r="B131" s="1" t="s">
        <v>196</v>
      </c>
      <c r="C131" s="2">
        <v>46162.318807870368</v>
      </c>
      <c r="D131" s="1" t="s">
        <v>218</v>
      </c>
      <c r="E131" s="1" t="s">
        <v>4</v>
      </c>
      <c r="F131" s="1">
        <v>1</v>
      </c>
      <c r="G131" s="1">
        <v>215100</v>
      </c>
      <c r="H131" s="20">
        <v>215100</v>
      </c>
      <c r="I131" s="3" t="s">
        <v>69</v>
      </c>
    </row>
    <row r="132" spans="2:9" x14ac:dyDescent="0.25">
      <c r="B132" s="1" t="s">
        <v>196</v>
      </c>
      <c r="C132" s="2">
        <v>46162.320694444446</v>
      </c>
      <c r="D132" s="1" t="s">
        <v>219</v>
      </c>
      <c r="E132" s="1" t="s">
        <v>4</v>
      </c>
      <c r="F132" s="1">
        <v>2</v>
      </c>
      <c r="G132" s="1">
        <v>215100</v>
      </c>
      <c r="H132" s="20">
        <v>430200</v>
      </c>
      <c r="I132" s="3" t="s">
        <v>69</v>
      </c>
    </row>
    <row r="133" spans="2:9" x14ac:dyDescent="0.25">
      <c r="B133" s="1" t="s">
        <v>196</v>
      </c>
      <c r="C133" s="2">
        <v>46162.322905092595</v>
      </c>
      <c r="D133" s="1" t="s">
        <v>281</v>
      </c>
      <c r="E133" s="1" t="s">
        <v>4</v>
      </c>
      <c r="F133" s="1">
        <v>5</v>
      </c>
      <c r="G133" s="1">
        <v>215100</v>
      </c>
      <c r="H133" s="20">
        <v>1075500</v>
      </c>
      <c r="I133" s="3" t="s">
        <v>69</v>
      </c>
    </row>
    <row r="134" spans="2:9" x14ac:dyDescent="0.25">
      <c r="B134" s="1" t="s">
        <v>196</v>
      </c>
      <c r="C134" s="2">
        <v>46162.323564814818</v>
      </c>
      <c r="D134" s="1" t="s">
        <v>216</v>
      </c>
      <c r="E134" s="1" t="s">
        <v>4</v>
      </c>
      <c r="F134" s="1">
        <v>1</v>
      </c>
      <c r="G134" s="1">
        <v>215100</v>
      </c>
      <c r="H134" s="20">
        <v>215100</v>
      </c>
      <c r="I134" s="3" t="s">
        <v>69</v>
      </c>
    </row>
    <row r="135" spans="2:9" x14ac:dyDescent="0.25">
      <c r="B135" s="1" t="s">
        <v>196</v>
      </c>
      <c r="C135" s="2">
        <v>46162.339583333334</v>
      </c>
      <c r="D135" s="1" t="s">
        <v>282</v>
      </c>
      <c r="E135" s="1" t="s">
        <v>4</v>
      </c>
      <c r="F135" s="1">
        <v>7</v>
      </c>
      <c r="G135" s="1">
        <v>215100</v>
      </c>
      <c r="H135" s="20">
        <v>1505700</v>
      </c>
      <c r="I135" s="3" t="s">
        <v>69</v>
      </c>
    </row>
    <row r="136" spans="2:9" x14ac:dyDescent="0.25">
      <c r="B136" s="1" t="s">
        <v>196</v>
      </c>
      <c r="C136" s="2">
        <v>46162.340405092589</v>
      </c>
      <c r="D136" s="1" t="s">
        <v>283</v>
      </c>
      <c r="E136" s="1" t="s">
        <v>4</v>
      </c>
      <c r="F136" s="1">
        <v>3</v>
      </c>
      <c r="G136" s="1">
        <v>215100</v>
      </c>
      <c r="H136" s="20">
        <v>645300</v>
      </c>
      <c r="I136" s="3" t="s">
        <v>69</v>
      </c>
    </row>
    <row r="137" spans="2:9" hidden="1" x14ac:dyDescent="0.25">
      <c r="B137" s="1" t="s">
        <v>196</v>
      </c>
      <c r="C137" s="2">
        <v>46162.498738425929</v>
      </c>
      <c r="D137" s="1" t="s">
        <v>284</v>
      </c>
      <c r="E137" s="1" t="s">
        <v>4</v>
      </c>
      <c r="F137" s="1">
        <v>100</v>
      </c>
      <c r="G137" s="1">
        <v>209100</v>
      </c>
      <c r="H137" s="20">
        <v>20910000</v>
      </c>
      <c r="I137" s="3" t="s">
        <v>3</v>
      </c>
    </row>
    <row r="138" spans="2:9" hidden="1" x14ac:dyDescent="0.25">
      <c r="B138" s="1" t="s">
        <v>196</v>
      </c>
      <c r="C138" s="2">
        <v>46163.31559027778</v>
      </c>
      <c r="D138" s="1" t="s">
        <v>231</v>
      </c>
      <c r="E138" s="1" t="s">
        <v>2</v>
      </c>
      <c r="F138" s="1">
        <v>2</v>
      </c>
      <c r="G138" s="1">
        <v>113600</v>
      </c>
      <c r="H138" s="20">
        <v>227200</v>
      </c>
      <c r="I138" s="3" t="s">
        <v>69</v>
      </c>
    </row>
    <row r="139" spans="2:9" x14ac:dyDescent="0.25">
      <c r="B139" s="1" t="s">
        <v>196</v>
      </c>
      <c r="C139" s="2">
        <v>46163.31559027778</v>
      </c>
      <c r="D139" s="1" t="s">
        <v>231</v>
      </c>
      <c r="E139" s="1" t="s">
        <v>4</v>
      </c>
      <c r="F139" s="1">
        <v>3</v>
      </c>
      <c r="G139" s="1">
        <v>215100</v>
      </c>
      <c r="H139" s="20">
        <v>645300</v>
      </c>
      <c r="I139" s="3" t="s">
        <v>69</v>
      </c>
    </row>
    <row r="140" spans="2:9" x14ac:dyDescent="0.25">
      <c r="B140" s="1" t="s">
        <v>196</v>
      </c>
      <c r="C140" s="2">
        <v>46163.547442129631</v>
      </c>
      <c r="D140" s="1" t="s">
        <v>227</v>
      </c>
      <c r="E140" s="1" t="s">
        <v>4</v>
      </c>
      <c r="F140" s="1">
        <v>2</v>
      </c>
      <c r="G140" s="1">
        <v>215100</v>
      </c>
      <c r="H140" s="20">
        <v>430200</v>
      </c>
      <c r="I140" s="3" t="s">
        <v>69</v>
      </c>
    </row>
    <row r="141" spans="2:9" x14ac:dyDescent="0.25">
      <c r="B141" s="1" t="s">
        <v>196</v>
      </c>
      <c r="C141" s="2">
        <v>46163.323217592595</v>
      </c>
      <c r="D141" s="1" t="s">
        <v>285</v>
      </c>
      <c r="E141" s="1" t="s">
        <v>4</v>
      </c>
      <c r="F141" s="1">
        <v>2</v>
      </c>
      <c r="G141" s="1">
        <v>215100</v>
      </c>
      <c r="H141" s="20">
        <v>430200</v>
      </c>
      <c r="I141" s="3" t="s">
        <v>69</v>
      </c>
    </row>
    <row r="142" spans="2:9" x14ac:dyDescent="0.25">
      <c r="B142" s="1" t="s">
        <v>196</v>
      </c>
      <c r="C142" s="2">
        <v>46163.325173611112</v>
      </c>
      <c r="D142" s="1" t="s">
        <v>286</v>
      </c>
      <c r="E142" s="1" t="s">
        <v>4</v>
      </c>
      <c r="F142" s="1">
        <v>5</v>
      </c>
      <c r="G142" s="1">
        <v>215100</v>
      </c>
      <c r="H142" s="20">
        <v>1075500</v>
      </c>
      <c r="I142" s="3" t="s">
        <v>69</v>
      </c>
    </row>
    <row r="143" spans="2:9" x14ac:dyDescent="0.25">
      <c r="B143" s="1" t="s">
        <v>196</v>
      </c>
      <c r="C143" s="2">
        <v>46163.326053240744</v>
      </c>
      <c r="D143" s="1" t="s">
        <v>230</v>
      </c>
      <c r="E143" s="1" t="s">
        <v>4</v>
      </c>
      <c r="F143" s="1">
        <v>4</v>
      </c>
      <c r="G143" s="1">
        <v>215100</v>
      </c>
      <c r="H143" s="20">
        <v>860400</v>
      </c>
      <c r="I143" s="3" t="s">
        <v>69</v>
      </c>
    </row>
    <row r="144" spans="2:9" x14ac:dyDescent="0.25">
      <c r="B144" s="1" t="s">
        <v>196</v>
      </c>
      <c r="C144" s="2">
        <v>46163.398055555554</v>
      </c>
      <c r="D144" s="1" t="s">
        <v>232</v>
      </c>
      <c r="E144" s="1" t="s">
        <v>4</v>
      </c>
      <c r="F144" s="1">
        <v>4</v>
      </c>
      <c r="G144" s="1">
        <v>215100</v>
      </c>
      <c r="H144" s="20">
        <v>860400</v>
      </c>
      <c r="I144" s="3" t="s">
        <v>69</v>
      </c>
    </row>
    <row r="145" spans="2:9" hidden="1" x14ac:dyDescent="0.25">
      <c r="B145" s="1" t="s">
        <v>196</v>
      </c>
      <c r="C145" s="2">
        <v>46163.398055555554</v>
      </c>
      <c r="D145" s="1" t="s">
        <v>232</v>
      </c>
      <c r="E145" s="1" t="s">
        <v>2</v>
      </c>
      <c r="F145" s="1">
        <v>10</v>
      </c>
      <c r="G145" s="1">
        <v>113600</v>
      </c>
      <c r="H145" s="20">
        <v>1136000</v>
      </c>
      <c r="I145" s="3" t="s">
        <v>69</v>
      </c>
    </row>
    <row r="146" spans="2:9" x14ac:dyDescent="0.25">
      <c r="B146" s="1" t="s">
        <v>196</v>
      </c>
      <c r="C146" s="2">
        <v>46163.400821759256</v>
      </c>
      <c r="D146" s="1" t="s">
        <v>228</v>
      </c>
      <c r="E146" s="1" t="s">
        <v>4</v>
      </c>
      <c r="F146" s="1">
        <v>2</v>
      </c>
      <c r="G146" s="1">
        <v>215100</v>
      </c>
      <c r="H146" s="20">
        <v>430200</v>
      </c>
      <c r="I146" s="3" t="s">
        <v>69</v>
      </c>
    </row>
    <row r="147" spans="2:9" hidden="1" x14ac:dyDescent="0.25">
      <c r="B147" s="1" t="s">
        <v>196</v>
      </c>
      <c r="C147" s="2">
        <v>46163.400821759256</v>
      </c>
      <c r="D147" s="1" t="s">
        <v>228</v>
      </c>
      <c r="E147" s="1" t="s">
        <v>2</v>
      </c>
      <c r="F147" s="1">
        <v>4</v>
      </c>
      <c r="G147" s="1">
        <v>113600</v>
      </c>
      <c r="H147" s="20">
        <v>454400</v>
      </c>
      <c r="I147" s="3" t="s">
        <v>69</v>
      </c>
    </row>
    <row r="148" spans="2:9" hidden="1" x14ac:dyDescent="0.25">
      <c r="B148" s="1" t="s">
        <v>196</v>
      </c>
      <c r="C148" s="2">
        <v>46164.332986111112</v>
      </c>
      <c r="D148" s="1" t="s">
        <v>237</v>
      </c>
      <c r="E148" s="1" t="s">
        <v>2</v>
      </c>
      <c r="F148" s="1">
        <v>7</v>
      </c>
      <c r="G148" s="1">
        <v>113600</v>
      </c>
      <c r="H148" s="20">
        <v>795200</v>
      </c>
      <c r="I148" s="3" t="s">
        <v>69</v>
      </c>
    </row>
    <row r="149" spans="2:9" x14ac:dyDescent="0.25">
      <c r="B149" s="1" t="s">
        <v>196</v>
      </c>
      <c r="C149" s="2">
        <v>46164.332986111112</v>
      </c>
      <c r="D149" s="1" t="s">
        <v>237</v>
      </c>
      <c r="E149" s="1" t="s">
        <v>4</v>
      </c>
      <c r="F149" s="1">
        <v>5</v>
      </c>
      <c r="G149" s="1">
        <v>215100</v>
      </c>
      <c r="H149" s="20">
        <v>1075500</v>
      </c>
      <c r="I149" s="3" t="s">
        <v>69</v>
      </c>
    </row>
    <row r="150" spans="2:9" x14ac:dyDescent="0.25">
      <c r="B150" s="1" t="s">
        <v>196</v>
      </c>
      <c r="C150" s="2">
        <v>46164.333668981482</v>
      </c>
      <c r="D150" s="1" t="s">
        <v>238</v>
      </c>
      <c r="E150" s="1" t="s">
        <v>4</v>
      </c>
      <c r="F150" s="1">
        <v>5</v>
      </c>
      <c r="G150" s="1">
        <v>215100</v>
      </c>
      <c r="H150" s="20">
        <v>1075500</v>
      </c>
      <c r="I150" s="3" t="s">
        <v>69</v>
      </c>
    </row>
    <row r="151" spans="2:9" hidden="1" x14ac:dyDescent="0.25">
      <c r="B151" s="1" t="s">
        <v>196</v>
      </c>
      <c r="C151" s="2">
        <v>46164.337268518517</v>
      </c>
      <c r="D151" s="1" t="s">
        <v>287</v>
      </c>
      <c r="E151" s="1" t="s">
        <v>4</v>
      </c>
      <c r="F151" s="1">
        <v>1</v>
      </c>
      <c r="G151" s="1">
        <v>215100</v>
      </c>
      <c r="H151" s="20">
        <v>215100</v>
      </c>
      <c r="I151" s="3" t="s">
        <v>3</v>
      </c>
    </row>
    <row r="152" spans="2:9" hidden="1" x14ac:dyDescent="0.25">
      <c r="B152" s="1" t="s">
        <v>196</v>
      </c>
      <c r="C152" s="2">
        <v>46164.337268518517</v>
      </c>
      <c r="D152" s="1" t="s">
        <v>287</v>
      </c>
      <c r="E152" s="1" t="s">
        <v>2</v>
      </c>
      <c r="F152" s="1">
        <v>1</v>
      </c>
      <c r="G152" s="1">
        <v>113600</v>
      </c>
      <c r="H152" s="20">
        <v>113600</v>
      </c>
      <c r="I152" s="3" t="s">
        <v>3</v>
      </c>
    </row>
    <row r="153" spans="2:9" hidden="1" x14ac:dyDescent="0.25">
      <c r="B153" s="1" t="s">
        <v>196</v>
      </c>
      <c r="C153" s="2">
        <v>46164.335995370369</v>
      </c>
      <c r="D153" s="1" t="s">
        <v>242</v>
      </c>
      <c r="E153" s="1" t="s">
        <v>2</v>
      </c>
      <c r="F153" s="1">
        <v>1</v>
      </c>
      <c r="G153" s="1">
        <v>113600</v>
      </c>
      <c r="H153" s="20">
        <v>113600</v>
      </c>
      <c r="I153" s="3" t="s">
        <v>69</v>
      </c>
    </row>
    <row r="154" spans="2:9" x14ac:dyDescent="0.25">
      <c r="B154" s="1" t="s">
        <v>196</v>
      </c>
      <c r="C154" s="2">
        <v>46164.338020833333</v>
      </c>
      <c r="D154" s="1" t="s">
        <v>240</v>
      </c>
      <c r="E154" s="1" t="s">
        <v>4</v>
      </c>
      <c r="F154" s="1">
        <v>1</v>
      </c>
      <c r="G154" s="1">
        <v>215100</v>
      </c>
      <c r="H154" s="20">
        <v>215100</v>
      </c>
      <c r="I154" s="3" t="s">
        <v>69</v>
      </c>
    </row>
    <row r="155" spans="2:9" hidden="1" x14ac:dyDescent="0.25">
      <c r="B155" s="1" t="s">
        <v>196</v>
      </c>
      <c r="C155" s="2">
        <v>46164.338738425926</v>
      </c>
      <c r="D155" s="1" t="s">
        <v>241</v>
      </c>
      <c r="E155" s="1" t="s">
        <v>4</v>
      </c>
      <c r="F155" s="1">
        <v>1</v>
      </c>
      <c r="G155" s="1">
        <v>215100</v>
      </c>
      <c r="H155" s="20">
        <v>215100</v>
      </c>
      <c r="I155" s="3" t="s">
        <v>3</v>
      </c>
    </row>
    <row r="156" spans="2:9" hidden="1" x14ac:dyDescent="0.25">
      <c r="B156" s="1" t="s">
        <v>196</v>
      </c>
      <c r="C156" s="2">
        <v>46164.339768518519</v>
      </c>
      <c r="D156" s="1" t="s">
        <v>288</v>
      </c>
      <c r="E156" s="1" t="s">
        <v>2</v>
      </c>
      <c r="F156" s="1">
        <v>10</v>
      </c>
      <c r="G156" s="1">
        <v>113600</v>
      </c>
      <c r="H156" s="20">
        <v>1136000</v>
      </c>
      <c r="I156" s="3" t="s">
        <v>69</v>
      </c>
    </row>
    <row r="157" spans="2:9" x14ac:dyDescent="0.25">
      <c r="B157" s="1" t="s">
        <v>196</v>
      </c>
      <c r="C157" s="2">
        <v>46164.339768518519</v>
      </c>
      <c r="D157" s="1" t="s">
        <v>288</v>
      </c>
      <c r="E157" s="1" t="s">
        <v>4</v>
      </c>
      <c r="F157" s="1">
        <v>5</v>
      </c>
      <c r="G157" s="1">
        <v>215100</v>
      </c>
      <c r="H157" s="20">
        <v>1075500</v>
      </c>
      <c r="I157" s="3" t="s">
        <v>69</v>
      </c>
    </row>
    <row r="158" spans="2:9" x14ac:dyDescent="0.25">
      <c r="B158" s="1" t="s">
        <v>196</v>
      </c>
      <c r="C158" s="2">
        <v>46164.295335648145</v>
      </c>
      <c r="D158" s="1" t="s">
        <v>227</v>
      </c>
      <c r="E158" s="1" t="s">
        <v>4</v>
      </c>
      <c r="F158" s="1">
        <v>2</v>
      </c>
      <c r="G158" s="1">
        <v>215100</v>
      </c>
      <c r="H158" s="20">
        <v>430200</v>
      </c>
      <c r="I158" s="3" t="s">
        <v>69</v>
      </c>
    </row>
    <row r="159" spans="2:9" hidden="1" x14ac:dyDescent="0.25">
      <c r="B159" s="1" t="s">
        <v>196</v>
      </c>
      <c r="C159" s="2">
        <v>46165.3356712963</v>
      </c>
      <c r="D159" s="1" t="s">
        <v>248</v>
      </c>
      <c r="E159" s="1" t="s">
        <v>2</v>
      </c>
      <c r="F159" s="1">
        <v>50</v>
      </c>
      <c r="G159" s="1">
        <v>113600</v>
      </c>
      <c r="H159" s="20">
        <v>5680000</v>
      </c>
      <c r="I159" s="3" t="s">
        <v>69</v>
      </c>
    </row>
    <row r="160" spans="2:9" x14ac:dyDescent="0.25">
      <c r="B160" s="1" t="s">
        <v>196</v>
      </c>
      <c r="C160" s="2">
        <v>46165.3356712963</v>
      </c>
      <c r="D160" s="1" t="s">
        <v>248</v>
      </c>
      <c r="E160" s="1" t="s">
        <v>4</v>
      </c>
      <c r="F160" s="1">
        <v>35</v>
      </c>
      <c r="G160" s="1">
        <v>215100</v>
      </c>
      <c r="H160" s="20">
        <v>7528500</v>
      </c>
      <c r="I160" s="3" t="s">
        <v>69</v>
      </c>
    </row>
    <row r="161" spans="2:13" hidden="1" x14ac:dyDescent="0.25">
      <c r="B161" s="1" t="s">
        <v>196</v>
      </c>
      <c r="C161" s="2">
        <v>46165.337314814817</v>
      </c>
      <c r="D161" s="1" t="s">
        <v>246</v>
      </c>
      <c r="E161" s="1" t="s">
        <v>2</v>
      </c>
      <c r="F161" s="1">
        <v>10</v>
      </c>
      <c r="G161" s="1">
        <v>113600</v>
      </c>
      <c r="H161" s="20">
        <v>1136000</v>
      </c>
      <c r="I161" s="3" t="s">
        <v>69</v>
      </c>
    </row>
    <row r="162" spans="2:13" x14ac:dyDescent="0.25">
      <c r="B162" s="1" t="s">
        <v>196</v>
      </c>
      <c r="C162" s="2">
        <v>46165.337314814817</v>
      </c>
      <c r="D162" s="1" t="s">
        <v>246</v>
      </c>
      <c r="E162" s="1" t="s">
        <v>4</v>
      </c>
      <c r="F162" s="1">
        <v>5</v>
      </c>
      <c r="G162" s="1">
        <v>215100</v>
      </c>
      <c r="H162" s="20">
        <v>1075500</v>
      </c>
      <c r="I162" s="3" t="s">
        <v>69</v>
      </c>
    </row>
    <row r="163" spans="2:13" hidden="1" x14ac:dyDescent="0.25">
      <c r="B163" s="1" t="s">
        <v>196</v>
      </c>
      <c r="C163" s="2">
        <v>46165.339247685188</v>
      </c>
      <c r="D163" s="1" t="s">
        <v>245</v>
      </c>
      <c r="E163" s="1" t="s">
        <v>2</v>
      </c>
      <c r="F163" s="1">
        <v>2</v>
      </c>
      <c r="G163" s="1">
        <v>113600</v>
      </c>
      <c r="H163" s="20">
        <v>227200</v>
      </c>
      <c r="I163" s="3" t="s">
        <v>69</v>
      </c>
    </row>
    <row r="164" spans="2:13" x14ac:dyDescent="0.25">
      <c r="B164" s="1" t="s">
        <v>196</v>
      </c>
      <c r="C164" s="2">
        <v>46165.339247685188</v>
      </c>
      <c r="D164" s="1" t="s">
        <v>245</v>
      </c>
      <c r="E164" s="1" t="s">
        <v>4</v>
      </c>
      <c r="F164" s="1">
        <v>1</v>
      </c>
      <c r="G164" s="1">
        <v>215100</v>
      </c>
      <c r="H164" s="20">
        <v>215100</v>
      </c>
      <c r="I164" s="3" t="s">
        <v>69</v>
      </c>
    </row>
    <row r="165" spans="2:13" hidden="1" x14ac:dyDescent="0.25">
      <c r="B165" s="1" t="s">
        <v>196</v>
      </c>
      <c r="C165" s="2">
        <v>46165.341805555552</v>
      </c>
      <c r="D165" s="1" t="s">
        <v>289</v>
      </c>
      <c r="E165" s="1" t="s">
        <v>2</v>
      </c>
      <c r="F165" s="1">
        <v>5</v>
      </c>
      <c r="G165" s="1">
        <v>113600</v>
      </c>
      <c r="H165" s="20">
        <v>568000</v>
      </c>
      <c r="I165" s="3" t="s">
        <v>69</v>
      </c>
    </row>
    <row r="166" spans="2:13" hidden="1" x14ac:dyDescent="0.25">
      <c r="B166" s="1" t="s">
        <v>196</v>
      </c>
      <c r="C166" s="2">
        <v>46165.344513888886</v>
      </c>
      <c r="D166" s="1" t="s">
        <v>290</v>
      </c>
      <c r="E166" s="1" t="s">
        <v>2</v>
      </c>
      <c r="F166" s="1">
        <v>5</v>
      </c>
      <c r="G166" s="1">
        <v>113600</v>
      </c>
      <c r="H166" s="20">
        <v>568000</v>
      </c>
      <c r="I166" s="3" t="s">
        <v>69</v>
      </c>
    </row>
    <row r="167" spans="2:13" x14ac:dyDescent="0.25">
      <c r="B167" s="1" t="s">
        <v>196</v>
      </c>
      <c r="C167" s="2">
        <v>46165.344513888886</v>
      </c>
      <c r="D167" s="1" t="s">
        <v>290</v>
      </c>
      <c r="E167" s="1" t="s">
        <v>4</v>
      </c>
      <c r="F167" s="1">
        <v>5</v>
      </c>
      <c r="G167" s="1">
        <v>215100</v>
      </c>
      <c r="H167" s="20">
        <v>1075500</v>
      </c>
      <c r="I167" s="3" t="s">
        <v>69</v>
      </c>
    </row>
    <row r="168" spans="2:13" x14ac:dyDescent="0.25">
      <c r="F168">
        <f>SUBTOTAL(9,F4:F167)</f>
        <v>381</v>
      </c>
      <c r="H168" s="21">
        <f>SUBTOTAL(9,H4:H167)</f>
        <v>81953100</v>
      </c>
    </row>
    <row r="169" spans="2:13" x14ac:dyDescent="0.25">
      <c r="H169" s="21"/>
      <c r="M169" s="5"/>
    </row>
    <row r="170" spans="2:13" ht="15.75" thickBot="1" x14ac:dyDescent="0.3"/>
    <row r="171" spans="2:13" x14ac:dyDescent="0.25">
      <c r="C171" s="38"/>
      <c r="D171" s="12" t="s">
        <v>194</v>
      </c>
      <c r="E171" s="12"/>
      <c r="F171" s="22" t="s">
        <v>421</v>
      </c>
      <c r="G171" s="23"/>
      <c r="H171" s="15" t="s">
        <v>410</v>
      </c>
      <c r="I171" s="10"/>
    </row>
    <row r="172" spans="2:13" x14ac:dyDescent="0.25">
      <c r="C172" s="39"/>
      <c r="D172" s="9" t="s">
        <v>192</v>
      </c>
      <c r="E172" s="8" t="s">
        <v>195</v>
      </c>
      <c r="F172" s="24" t="s">
        <v>192</v>
      </c>
      <c r="G172" s="25" t="s">
        <v>195</v>
      </c>
      <c r="H172" s="16" t="s">
        <v>192</v>
      </c>
      <c r="I172" s="3" t="s">
        <v>193</v>
      </c>
    </row>
    <row r="173" spans="2:13" x14ac:dyDescent="0.25">
      <c r="C173" s="39" t="s">
        <v>65</v>
      </c>
      <c r="D173" s="1"/>
      <c r="E173" s="13"/>
      <c r="F173" s="26"/>
      <c r="G173" s="28"/>
      <c r="H173" s="10"/>
      <c r="I173" s="6">
        <f>SUM(E173+G173)</f>
        <v>0</v>
      </c>
    </row>
    <row r="174" spans="2:13" x14ac:dyDescent="0.25">
      <c r="C174" s="1" t="s">
        <v>66</v>
      </c>
      <c r="D174" s="1">
        <v>7</v>
      </c>
      <c r="E174" s="13">
        <v>792800</v>
      </c>
      <c r="F174" s="26">
        <v>265</v>
      </c>
      <c r="G174" s="28">
        <v>30001600</v>
      </c>
      <c r="H174" s="10">
        <f>SUM(D174+F174)</f>
        <v>272</v>
      </c>
      <c r="I174" s="6">
        <f t="shared" ref="I174:I175" si="0">SUM(E174+G174)</f>
        <v>30794400</v>
      </c>
    </row>
    <row r="175" spans="2:13" x14ac:dyDescent="0.25">
      <c r="C175" s="1" t="s">
        <v>67</v>
      </c>
      <c r="D175" s="1">
        <v>125</v>
      </c>
      <c r="E175" s="13">
        <v>26287500</v>
      </c>
      <c r="F175" s="26">
        <v>381</v>
      </c>
      <c r="G175" s="28">
        <v>81953100</v>
      </c>
      <c r="H175" s="10">
        <f>SUM(D175+F175)</f>
        <v>506</v>
      </c>
      <c r="I175" s="6">
        <f t="shared" si="0"/>
        <v>108240600</v>
      </c>
    </row>
    <row r="176" spans="2:13" x14ac:dyDescent="0.25">
      <c r="C176" s="1"/>
      <c r="D176" s="1"/>
      <c r="E176" s="13"/>
      <c r="F176" s="26"/>
      <c r="G176" s="28"/>
      <c r="H176" s="10"/>
      <c r="I176" s="1"/>
    </row>
    <row r="177" spans="3:11" ht="15.75" thickBot="1" x14ac:dyDescent="0.3">
      <c r="C177" s="1"/>
      <c r="D177" s="1">
        <f>SUM(D174:D175)</f>
        <v>132</v>
      </c>
      <c r="E177" s="14">
        <f>SUM(E173:E175)</f>
        <v>27080300</v>
      </c>
      <c r="F177" s="27">
        <f>SUM(F173:F175)</f>
        <v>646</v>
      </c>
      <c r="G177" s="29">
        <f>SUM(G173:G175)</f>
        <v>111954700</v>
      </c>
      <c r="H177" s="18">
        <f>SUM(H173:H175)</f>
        <v>778</v>
      </c>
      <c r="I177" s="6">
        <f>SUM(I173:I176)</f>
        <v>139035000</v>
      </c>
      <c r="K177" s="21"/>
    </row>
    <row r="178" spans="3:11" x14ac:dyDescent="0.25">
      <c r="J178">
        <f>SUM(D177+F177)</f>
        <v>778</v>
      </c>
    </row>
    <row r="181" spans="3:11" x14ac:dyDescent="0.25">
      <c r="C181" s="36" t="s">
        <v>444</v>
      </c>
    </row>
    <row r="182" spans="3:11" x14ac:dyDescent="0.25">
      <c r="C182" s="1" t="s">
        <v>424</v>
      </c>
      <c r="D182" s="1" t="s">
        <v>425</v>
      </c>
      <c r="E182" s="1" t="s">
        <v>430</v>
      </c>
      <c r="F182" s="1" t="s">
        <v>428</v>
      </c>
      <c r="G182" s="1" t="s">
        <v>427</v>
      </c>
      <c r="H182" s="37" t="s">
        <v>426</v>
      </c>
      <c r="I182" s="10"/>
    </row>
    <row r="183" spans="3:11" x14ac:dyDescent="0.25">
      <c r="C183" s="1" t="s">
        <v>65</v>
      </c>
      <c r="D183" s="6">
        <v>110500</v>
      </c>
      <c r="E183" s="37">
        <f>SUM(D173)</f>
        <v>0</v>
      </c>
      <c r="F183" s="6">
        <f>SUM(D183*E183)</f>
        <v>0</v>
      </c>
      <c r="H183" s="37"/>
      <c r="I183" s="17"/>
    </row>
    <row r="184" spans="3:11" x14ac:dyDescent="0.25">
      <c r="C184" s="1" t="s">
        <v>66</v>
      </c>
      <c r="D184" s="6">
        <v>107500</v>
      </c>
      <c r="E184" s="37">
        <f>SUM(D174)</f>
        <v>7</v>
      </c>
      <c r="F184" s="6">
        <f>SUM(D184*E184)</f>
        <v>752500</v>
      </c>
      <c r="G184" s="6">
        <f>SUM(E174)</f>
        <v>792800</v>
      </c>
      <c r="H184" s="37"/>
      <c r="I184" s="17">
        <f>SUM(E174-F184)</f>
        <v>40300</v>
      </c>
    </row>
    <row r="185" spans="3:11" x14ac:dyDescent="0.25">
      <c r="C185" s="1" t="s">
        <v>67</v>
      </c>
      <c r="D185" s="6">
        <v>201900</v>
      </c>
      <c r="E185" s="37">
        <f>SUM(D175)</f>
        <v>125</v>
      </c>
      <c r="F185" s="6">
        <f>SUM(D185*E185)</f>
        <v>25237500</v>
      </c>
      <c r="G185" s="6">
        <f>SUM(E175)</f>
        <v>26287500</v>
      </c>
      <c r="H185" s="37"/>
      <c r="I185" s="17">
        <f>SUM(E175-F185)</f>
        <v>1050000</v>
      </c>
    </row>
    <row r="186" spans="3:11" x14ac:dyDescent="0.25">
      <c r="G186" s="5"/>
    </row>
    <row r="187" spans="3:11" x14ac:dyDescent="0.25">
      <c r="I187" s="11">
        <f>SUM(I183:I185)</f>
        <v>1090300</v>
      </c>
    </row>
    <row r="189" spans="3:11" x14ac:dyDescent="0.25">
      <c r="C189" s="36" t="s">
        <v>443</v>
      </c>
    </row>
    <row r="190" spans="3:11" x14ac:dyDescent="0.25">
      <c r="C190" s="1" t="s">
        <v>424</v>
      </c>
      <c r="D190" s="1" t="s">
        <v>425</v>
      </c>
      <c r="E190" s="1" t="s">
        <v>431</v>
      </c>
      <c r="F190" s="1" t="s">
        <v>428</v>
      </c>
      <c r="G190" s="1" t="s">
        <v>427</v>
      </c>
      <c r="H190" s="37" t="s">
        <v>429</v>
      </c>
      <c r="I190" s="10"/>
    </row>
    <row r="191" spans="3:11" x14ac:dyDescent="0.25">
      <c r="C191" s="1" t="s">
        <v>65</v>
      </c>
      <c r="D191" s="6">
        <v>110500</v>
      </c>
      <c r="F191" s="6"/>
      <c r="H191" s="37"/>
    </row>
    <row r="192" spans="3:11" x14ac:dyDescent="0.25">
      <c r="C192" s="1" t="s">
        <v>66</v>
      </c>
      <c r="D192" s="6">
        <v>107500</v>
      </c>
      <c r="E192" s="43">
        <v>265</v>
      </c>
      <c r="F192" s="6">
        <f>SUM(D192*E192)</f>
        <v>28487500</v>
      </c>
      <c r="G192" s="6">
        <f>SUM(G174)</f>
        <v>30001600</v>
      </c>
      <c r="H192" s="37"/>
      <c r="I192" s="17">
        <f>SUM(G192-F192)</f>
        <v>1514100</v>
      </c>
    </row>
    <row r="193" spans="3:9" x14ac:dyDescent="0.25">
      <c r="C193" s="1" t="s">
        <v>67</v>
      </c>
      <c r="D193" s="6">
        <v>201900</v>
      </c>
      <c r="E193" s="43">
        <v>381</v>
      </c>
      <c r="F193" s="6">
        <f>SUM(D193*E193)</f>
        <v>76923900</v>
      </c>
      <c r="G193" s="6">
        <f>SUM(G175)</f>
        <v>81953100</v>
      </c>
      <c r="H193" s="37"/>
      <c r="I193" s="17">
        <f>SUM(G193-F193)</f>
        <v>5029200</v>
      </c>
    </row>
    <row r="195" spans="3:9" x14ac:dyDescent="0.25">
      <c r="I195" s="11">
        <f>SUM(I192:I193)</f>
        <v>6543300</v>
      </c>
    </row>
  </sheetData>
  <autoFilter ref="B3:I167" xr:uid="{BD5F69F8-2060-495C-A3BE-1F607CF2C454}">
    <filterColumn colId="3">
      <filters>
        <filter val="FITRI BOTOL 800ML"/>
      </filters>
    </filterColumn>
    <filterColumn colId="7">
      <filters>
        <filter val="Kredit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00A2F-B446-40FF-8182-456897C1DA01}">
  <dimension ref="B1:K328"/>
  <sheetViews>
    <sheetView tabSelected="1" topLeftCell="E314" workbookViewId="0">
      <selection activeCell="G321" sqref="G321"/>
    </sheetView>
  </sheetViews>
  <sheetFormatPr defaultRowHeight="15" x14ac:dyDescent="0.25"/>
  <cols>
    <col min="3" max="3" width="11.85546875" customWidth="1"/>
    <col min="4" max="4" width="12.140625" customWidth="1"/>
    <col min="5" max="5" width="20.85546875" customWidth="1"/>
    <col min="6" max="6" width="18.140625" customWidth="1"/>
    <col min="7" max="7" width="17" customWidth="1"/>
    <col min="8" max="8" width="16.5703125" customWidth="1"/>
    <col min="9" max="9" width="15" customWidth="1"/>
    <col min="10" max="10" width="18.7109375" customWidth="1"/>
    <col min="13" max="13" width="18.140625" bestFit="1" customWidth="1"/>
  </cols>
  <sheetData>
    <row r="1" spans="2:9" x14ac:dyDescent="0.25">
      <c r="B1" t="s">
        <v>413</v>
      </c>
    </row>
    <row r="3" spans="2:9" x14ac:dyDescent="0.25">
      <c r="B3" s="7" t="s">
        <v>416</v>
      </c>
      <c r="C3" s="7" t="s">
        <v>63</v>
      </c>
      <c r="D3" s="7" t="s">
        <v>415</v>
      </c>
      <c r="E3" s="7" t="s">
        <v>414</v>
      </c>
      <c r="F3" s="7" t="s">
        <v>419</v>
      </c>
      <c r="G3" s="7" t="s">
        <v>418</v>
      </c>
      <c r="H3" s="7" t="s">
        <v>417</v>
      </c>
      <c r="I3" s="19" t="s">
        <v>64</v>
      </c>
    </row>
    <row r="4" spans="2:9" x14ac:dyDescent="0.25">
      <c r="B4" s="1" t="s">
        <v>291</v>
      </c>
      <c r="C4" s="2">
        <v>46143.318993055553</v>
      </c>
      <c r="D4" s="1" t="s">
        <v>292</v>
      </c>
      <c r="E4" s="1" t="s">
        <v>4</v>
      </c>
      <c r="F4" s="1">
        <v>2</v>
      </c>
      <c r="G4" s="1">
        <v>215100</v>
      </c>
      <c r="H4" s="20">
        <v>430200</v>
      </c>
      <c r="I4" s="3" t="s">
        <v>69</v>
      </c>
    </row>
    <row r="5" spans="2:9" x14ac:dyDescent="0.25">
      <c r="B5" s="1" t="s">
        <v>291</v>
      </c>
      <c r="C5" s="2">
        <v>46143.320462962962</v>
      </c>
      <c r="D5" s="1" t="s">
        <v>293</v>
      </c>
      <c r="E5" s="1" t="s">
        <v>4</v>
      </c>
      <c r="F5" s="1">
        <v>1</v>
      </c>
      <c r="G5" s="1">
        <v>215100</v>
      </c>
      <c r="H5" s="20">
        <v>215100</v>
      </c>
      <c r="I5" s="3" t="s">
        <v>69</v>
      </c>
    </row>
    <row r="6" spans="2:9" x14ac:dyDescent="0.25">
      <c r="B6" s="1" t="s">
        <v>291</v>
      </c>
      <c r="C6" s="2">
        <v>46143.322557870371</v>
      </c>
      <c r="D6" s="1" t="s">
        <v>294</v>
      </c>
      <c r="E6" s="1" t="s">
        <v>2</v>
      </c>
      <c r="F6" s="1">
        <v>5</v>
      </c>
      <c r="G6" s="1">
        <v>112800</v>
      </c>
      <c r="H6" s="20">
        <v>564000</v>
      </c>
      <c r="I6" s="3" t="s">
        <v>3</v>
      </c>
    </row>
    <row r="7" spans="2:9" x14ac:dyDescent="0.25">
      <c r="B7" s="1" t="s">
        <v>291</v>
      </c>
      <c r="C7" s="2">
        <v>46143.323645833334</v>
      </c>
      <c r="D7" s="1" t="s">
        <v>295</v>
      </c>
      <c r="E7" s="1" t="s">
        <v>2</v>
      </c>
      <c r="F7" s="1">
        <v>5</v>
      </c>
      <c r="G7" s="1">
        <v>112800</v>
      </c>
      <c r="H7" s="20">
        <v>564000</v>
      </c>
      <c r="I7" s="3" t="s">
        <v>3</v>
      </c>
    </row>
    <row r="8" spans="2:9" x14ac:dyDescent="0.25">
      <c r="B8" s="1" t="s">
        <v>291</v>
      </c>
      <c r="C8" s="2">
        <v>46143.324328703704</v>
      </c>
      <c r="D8" s="1" t="s">
        <v>296</v>
      </c>
      <c r="E8" s="1" t="s">
        <v>2</v>
      </c>
      <c r="F8" s="1">
        <v>2</v>
      </c>
      <c r="G8" s="1">
        <v>112800</v>
      </c>
      <c r="H8" s="20">
        <v>225600</v>
      </c>
      <c r="I8" s="3" t="s">
        <v>69</v>
      </c>
    </row>
    <row r="9" spans="2:9" x14ac:dyDescent="0.25">
      <c r="B9" s="1" t="s">
        <v>291</v>
      </c>
      <c r="C9" s="2">
        <v>46143.325428240743</v>
      </c>
      <c r="D9" s="1" t="s">
        <v>297</v>
      </c>
      <c r="E9" s="1" t="s">
        <v>4</v>
      </c>
      <c r="F9" s="1">
        <v>5</v>
      </c>
      <c r="G9" s="1">
        <v>215100</v>
      </c>
      <c r="H9" s="20">
        <v>1075500</v>
      </c>
      <c r="I9" s="3" t="s">
        <v>3</v>
      </c>
    </row>
    <row r="10" spans="2:9" x14ac:dyDescent="0.25">
      <c r="B10" s="1" t="s">
        <v>291</v>
      </c>
      <c r="C10" s="2">
        <v>46143.326273148145</v>
      </c>
      <c r="D10" s="1" t="s">
        <v>298</v>
      </c>
      <c r="E10" s="1" t="s">
        <v>2</v>
      </c>
      <c r="F10" s="1">
        <v>2</v>
      </c>
      <c r="G10" s="1">
        <v>112800</v>
      </c>
      <c r="H10" s="20">
        <v>225600</v>
      </c>
      <c r="I10" s="3" t="s">
        <v>69</v>
      </c>
    </row>
    <row r="11" spans="2:9" x14ac:dyDescent="0.25">
      <c r="B11" s="1" t="s">
        <v>291</v>
      </c>
      <c r="C11" s="2">
        <v>46143.326273148145</v>
      </c>
      <c r="D11" s="1" t="s">
        <v>298</v>
      </c>
      <c r="E11" s="1" t="s">
        <v>4</v>
      </c>
      <c r="F11" s="1">
        <v>3</v>
      </c>
      <c r="G11" s="1">
        <v>215100</v>
      </c>
      <c r="H11" s="20">
        <v>645300</v>
      </c>
      <c r="I11" s="3" t="s">
        <v>69</v>
      </c>
    </row>
    <row r="12" spans="2:9" x14ac:dyDescent="0.25">
      <c r="B12" s="1" t="s">
        <v>291</v>
      </c>
      <c r="C12" s="2">
        <v>46143.327569444446</v>
      </c>
      <c r="D12" s="1" t="s">
        <v>299</v>
      </c>
      <c r="E12" s="1" t="s">
        <v>2</v>
      </c>
      <c r="F12" s="1">
        <v>2</v>
      </c>
      <c r="G12" s="1">
        <v>112800</v>
      </c>
      <c r="H12" s="20">
        <v>225600</v>
      </c>
      <c r="I12" s="3" t="s">
        <v>69</v>
      </c>
    </row>
    <row r="13" spans="2:9" x14ac:dyDescent="0.25">
      <c r="B13" s="1" t="s">
        <v>291</v>
      </c>
      <c r="C13" s="2">
        <v>46143.332835648151</v>
      </c>
      <c r="D13" s="1" t="s">
        <v>300</v>
      </c>
      <c r="E13" s="1" t="s">
        <v>4</v>
      </c>
      <c r="F13" s="1">
        <v>1</v>
      </c>
      <c r="G13" s="1">
        <v>215100</v>
      </c>
      <c r="H13" s="20">
        <v>215100</v>
      </c>
      <c r="I13" s="3" t="s">
        <v>3</v>
      </c>
    </row>
    <row r="14" spans="2:9" x14ac:dyDescent="0.25">
      <c r="B14" s="1" t="s">
        <v>291</v>
      </c>
      <c r="C14" s="2">
        <v>46144.335833333331</v>
      </c>
      <c r="D14" s="1" t="s">
        <v>301</v>
      </c>
      <c r="E14" s="1" t="s">
        <v>2</v>
      </c>
      <c r="F14" s="1">
        <v>1</v>
      </c>
      <c r="G14" s="1">
        <v>112800</v>
      </c>
      <c r="H14" s="20">
        <v>112800</v>
      </c>
      <c r="I14" s="3" t="s">
        <v>69</v>
      </c>
    </row>
    <row r="15" spans="2:9" x14ac:dyDescent="0.25">
      <c r="B15" s="1" t="s">
        <v>291</v>
      </c>
      <c r="C15" s="2">
        <v>46144.335833333331</v>
      </c>
      <c r="D15" s="1" t="s">
        <v>301</v>
      </c>
      <c r="E15" s="1" t="s">
        <v>4</v>
      </c>
      <c r="F15" s="1">
        <v>1</v>
      </c>
      <c r="G15" s="1">
        <v>215100</v>
      </c>
      <c r="H15" s="20">
        <v>215100</v>
      </c>
      <c r="I15" s="3" t="s">
        <v>69</v>
      </c>
    </row>
    <row r="16" spans="2:9" x14ac:dyDescent="0.25">
      <c r="B16" s="1" t="s">
        <v>291</v>
      </c>
      <c r="C16" s="2">
        <v>46144.336805555555</v>
      </c>
      <c r="D16" s="1" t="s">
        <v>302</v>
      </c>
      <c r="E16" s="1" t="s">
        <v>4</v>
      </c>
      <c r="F16" s="1">
        <v>2</v>
      </c>
      <c r="G16" s="1">
        <v>215100</v>
      </c>
      <c r="H16" s="20">
        <v>430200</v>
      </c>
      <c r="I16" s="3" t="s">
        <v>69</v>
      </c>
    </row>
    <row r="17" spans="2:9" x14ac:dyDescent="0.25">
      <c r="B17" s="1" t="s">
        <v>291</v>
      </c>
      <c r="C17" s="2">
        <v>46144.337372685186</v>
      </c>
      <c r="D17" s="1" t="s">
        <v>303</v>
      </c>
      <c r="E17" s="1" t="s">
        <v>4</v>
      </c>
      <c r="F17" s="1">
        <v>1</v>
      </c>
      <c r="G17" s="1">
        <v>215100</v>
      </c>
      <c r="H17" s="20">
        <v>215100</v>
      </c>
      <c r="I17" s="3" t="s">
        <v>69</v>
      </c>
    </row>
    <row r="18" spans="2:9" x14ac:dyDescent="0.25">
      <c r="B18" s="1" t="s">
        <v>291</v>
      </c>
      <c r="C18" s="2">
        <v>46144.338530092595</v>
      </c>
      <c r="D18" s="1" t="s">
        <v>304</v>
      </c>
      <c r="E18" s="1" t="s">
        <v>2</v>
      </c>
      <c r="F18" s="1">
        <v>5</v>
      </c>
      <c r="G18" s="1">
        <v>112800</v>
      </c>
      <c r="H18" s="20">
        <v>564000</v>
      </c>
      <c r="I18" s="3" t="s">
        <v>3</v>
      </c>
    </row>
    <row r="19" spans="2:9" x14ac:dyDescent="0.25">
      <c r="B19" s="1" t="s">
        <v>291</v>
      </c>
      <c r="C19" s="2">
        <v>46144.339328703703</v>
      </c>
      <c r="D19" s="1" t="s">
        <v>305</v>
      </c>
      <c r="E19" s="1" t="s">
        <v>2</v>
      </c>
      <c r="F19" s="1">
        <v>1</v>
      </c>
      <c r="G19" s="1">
        <v>112800</v>
      </c>
      <c r="H19" s="20">
        <v>112800</v>
      </c>
      <c r="I19" s="3" t="s">
        <v>69</v>
      </c>
    </row>
    <row r="20" spans="2:9" x14ac:dyDescent="0.25">
      <c r="B20" s="1" t="s">
        <v>291</v>
      </c>
      <c r="C20" s="2">
        <v>46144.339328703703</v>
      </c>
      <c r="D20" s="1" t="s">
        <v>305</v>
      </c>
      <c r="E20" s="1" t="s">
        <v>4</v>
      </c>
      <c r="F20" s="1">
        <v>2</v>
      </c>
      <c r="G20" s="1">
        <v>215100</v>
      </c>
      <c r="H20" s="20">
        <v>430200</v>
      </c>
      <c r="I20" s="3" t="s">
        <v>69</v>
      </c>
    </row>
    <row r="21" spans="2:9" x14ac:dyDescent="0.25">
      <c r="B21" s="1" t="s">
        <v>291</v>
      </c>
      <c r="C21" s="2">
        <v>46144.339953703704</v>
      </c>
      <c r="D21" s="1" t="s">
        <v>306</v>
      </c>
      <c r="E21" s="1" t="s">
        <v>2</v>
      </c>
      <c r="F21" s="1">
        <v>1</v>
      </c>
      <c r="G21" s="1">
        <v>112800</v>
      </c>
      <c r="H21" s="20">
        <v>112800</v>
      </c>
      <c r="I21" s="3" t="s">
        <v>69</v>
      </c>
    </row>
    <row r="22" spans="2:9" x14ac:dyDescent="0.25">
      <c r="B22" s="1" t="s">
        <v>291</v>
      </c>
      <c r="C22" s="2">
        <v>46144.339953703704</v>
      </c>
      <c r="D22" s="1" t="s">
        <v>306</v>
      </c>
      <c r="E22" s="1" t="s">
        <v>4</v>
      </c>
      <c r="F22" s="1">
        <v>2</v>
      </c>
      <c r="G22" s="1">
        <v>215100</v>
      </c>
      <c r="H22" s="20">
        <v>430200</v>
      </c>
      <c r="I22" s="3" t="s">
        <v>69</v>
      </c>
    </row>
    <row r="23" spans="2:9" x14ac:dyDescent="0.25">
      <c r="B23" s="1" t="s">
        <v>291</v>
      </c>
      <c r="C23" s="2">
        <v>46144.340532407405</v>
      </c>
      <c r="D23" s="1" t="s">
        <v>307</v>
      </c>
      <c r="E23" s="1" t="s">
        <v>2</v>
      </c>
      <c r="F23" s="1">
        <v>2</v>
      </c>
      <c r="G23" s="1">
        <v>112800</v>
      </c>
      <c r="H23" s="20">
        <v>225600</v>
      </c>
      <c r="I23" s="3" t="s">
        <v>69</v>
      </c>
    </row>
    <row r="24" spans="2:9" x14ac:dyDescent="0.25">
      <c r="B24" s="1" t="s">
        <v>291</v>
      </c>
      <c r="C24" s="2">
        <v>46144.340532407405</v>
      </c>
      <c r="D24" s="1" t="s">
        <v>307</v>
      </c>
      <c r="E24" s="1" t="s">
        <v>4</v>
      </c>
      <c r="F24" s="1">
        <v>5</v>
      </c>
      <c r="G24" s="1">
        <v>215100</v>
      </c>
      <c r="H24" s="20">
        <v>1075500</v>
      </c>
      <c r="I24" s="3" t="s">
        <v>69</v>
      </c>
    </row>
    <row r="25" spans="2:9" x14ac:dyDescent="0.25">
      <c r="B25" s="1" t="s">
        <v>291</v>
      </c>
      <c r="C25" s="2">
        <v>46144.341550925928</v>
      </c>
      <c r="D25" s="1" t="s">
        <v>308</v>
      </c>
      <c r="E25" s="1" t="s">
        <v>4</v>
      </c>
      <c r="F25" s="1">
        <v>5</v>
      </c>
      <c r="G25" s="1">
        <v>215100</v>
      </c>
      <c r="H25" s="20">
        <v>1075500</v>
      </c>
      <c r="I25" s="3" t="s">
        <v>3</v>
      </c>
    </row>
    <row r="26" spans="2:9" x14ac:dyDescent="0.25">
      <c r="B26" s="1" t="s">
        <v>291</v>
      </c>
      <c r="C26" s="2">
        <v>46144.342546296299</v>
      </c>
      <c r="D26" s="1" t="s">
        <v>309</v>
      </c>
      <c r="E26" s="1" t="s">
        <v>2</v>
      </c>
      <c r="F26" s="1">
        <v>2</v>
      </c>
      <c r="G26" s="1">
        <v>112800</v>
      </c>
      <c r="H26" s="20">
        <v>225600</v>
      </c>
      <c r="I26" s="3" t="s">
        <v>3</v>
      </c>
    </row>
    <row r="27" spans="2:9" x14ac:dyDescent="0.25">
      <c r="B27" s="1" t="s">
        <v>291</v>
      </c>
      <c r="C27" s="2">
        <v>46144.342546296299</v>
      </c>
      <c r="D27" s="1" t="s">
        <v>309</v>
      </c>
      <c r="E27" s="1" t="s">
        <v>4</v>
      </c>
      <c r="F27" s="1">
        <v>3</v>
      </c>
      <c r="G27" s="1">
        <v>215100</v>
      </c>
      <c r="H27" s="20">
        <v>645300</v>
      </c>
      <c r="I27" s="3" t="s">
        <v>3</v>
      </c>
    </row>
    <row r="28" spans="2:9" x14ac:dyDescent="0.25">
      <c r="B28" s="1" t="s">
        <v>291</v>
      </c>
      <c r="C28" s="2">
        <v>46144.343171296299</v>
      </c>
      <c r="D28" s="1" t="s">
        <v>310</v>
      </c>
      <c r="E28" s="1" t="s">
        <v>2</v>
      </c>
      <c r="F28" s="1">
        <v>1</v>
      </c>
      <c r="G28" s="1">
        <v>112800</v>
      </c>
      <c r="H28" s="20">
        <v>112800</v>
      </c>
      <c r="I28" s="3" t="s">
        <v>69</v>
      </c>
    </row>
    <row r="29" spans="2:9" x14ac:dyDescent="0.25">
      <c r="B29" s="1" t="s">
        <v>291</v>
      </c>
      <c r="C29" s="2">
        <v>46144.343171296299</v>
      </c>
      <c r="D29" s="1" t="s">
        <v>310</v>
      </c>
      <c r="E29" s="1" t="s">
        <v>4</v>
      </c>
      <c r="F29" s="1">
        <v>1</v>
      </c>
      <c r="G29" s="1">
        <v>215100</v>
      </c>
      <c r="H29" s="20">
        <v>215100</v>
      </c>
      <c r="I29" s="3" t="s">
        <v>69</v>
      </c>
    </row>
    <row r="30" spans="2:9" x14ac:dyDescent="0.25">
      <c r="B30" s="1" t="s">
        <v>291</v>
      </c>
      <c r="C30" s="2">
        <v>46144.343784722223</v>
      </c>
      <c r="D30" s="1" t="s">
        <v>311</v>
      </c>
      <c r="E30" s="1" t="s">
        <v>2</v>
      </c>
      <c r="F30" s="1">
        <v>2</v>
      </c>
      <c r="G30" s="1">
        <v>112800</v>
      </c>
      <c r="H30" s="20">
        <v>225600</v>
      </c>
      <c r="I30" s="3" t="s">
        <v>69</v>
      </c>
    </row>
    <row r="31" spans="2:9" x14ac:dyDescent="0.25">
      <c r="B31" s="1" t="s">
        <v>291</v>
      </c>
      <c r="C31" s="2">
        <v>46144.344375000001</v>
      </c>
      <c r="D31" s="1" t="s">
        <v>312</v>
      </c>
      <c r="E31" s="1" t="s">
        <v>4</v>
      </c>
      <c r="F31" s="1">
        <v>2</v>
      </c>
      <c r="G31" s="1">
        <v>215100</v>
      </c>
      <c r="H31" s="20">
        <v>430200</v>
      </c>
      <c r="I31" s="3" t="s">
        <v>69</v>
      </c>
    </row>
    <row r="32" spans="2:9" x14ac:dyDescent="0.25">
      <c r="B32" s="1" t="s">
        <v>291</v>
      </c>
      <c r="C32" s="2">
        <v>46144.344884259262</v>
      </c>
      <c r="D32" s="1" t="s">
        <v>313</v>
      </c>
      <c r="E32" s="1" t="s">
        <v>4</v>
      </c>
      <c r="F32" s="1">
        <v>2</v>
      </c>
      <c r="G32" s="1">
        <v>215100</v>
      </c>
      <c r="H32" s="20">
        <v>430200</v>
      </c>
      <c r="I32" s="3" t="s">
        <v>69</v>
      </c>
    </row>
    <row r="33" spans="2:9" x14ac:dyDescent="0.25">
      <c r="B33" s="1" t="s">
        <v>291</v>
      </c>
      <c r="C33" s="2">
        <v>46143.488611111112</v>
      </c>
      <c r="D33" s="1" t="s">
        <v>314</v>
      </c>
      <c r="E33" s="1" t="s">
        <v>2</v>
      </c>
      <c r="F33" s="1">
        <v>2</v>
      </c>
      <c r="G33" s="1">
        <v>112800</v>
      </c>
      <c r="H33" s="20">
        <v>225600</v>
      </c>
      <c r="I33" s="3" t="s">
        <v>69</v>
      </c>
    </row>
    <row r="34" spans="2:9" x14ac:dyDescent="0.25">
      <c r="B34" s="1" t="s">
        <v>291</v>
      </c>
      <c r="C34" s="2">
        <v>46146.365937499999</v>
      </c>
      <c r="D34" s="1" t="s">
        <v>315</v>
      </c>
      <c r="E34" s="1" t="s">
        <v>2</v>
      </c>
      <c r="F34" s="1">
        <v>2</v>
      </c>
      <c r="G34" s="1">
        <v>112800</v>
      </c>
      <c r="H34" s="20">
        <v>225600</v>
      </c>
      <c r="I34" s="3" t="s">
        <v>69</v>
      </c>
    </row>
    <row r="35" spans="2:9" x14ac:dyDescent="0.25">
      <c r="B35" s="1" t="s">
        <v>291</v>
      </c>
      <c r="C35" s="2">
        <v>46146.365937499999</v>
      </c>
      <c r="D35" s="1" t="s">
        <v>315</v>
      </c>
      <c r="E35" s="1" t="s">
        <v>4</v>
      </c>
      <c r="F35" s="1">
        <v>3</v>
      </c>
      <c r="G35" s="1">
        <v>215100</v>
      </c>
      <c r="H35" s="20">
        <v>645300</v>
      </c>
      <c r="I35" s="3" t="s">
        <v>69</v>
      </c>
    </row>
    <row r="36" spans="2:9" x14ac:dyDescent="0.25">
      <c r="B36" s="1" t="s">
        <v>291</v>
      </c>
      <c r="C36" s="2">
        <v>46146.366631944446</v>
      </c>
      <c r="D36" s="1" t="s">
        <v>316</v>
      </c>
      <c r="E36" s="1" t="s">
        <v>2</v>
      </c>
      <c r="F36" s="1">
        <v>1</v>
      </c>
      <c r="G36" s="1">
        <v>112800</v>
      </c>
      <c r="H36" s="20">
        <v>112800</v>
      </c>
      <c r="I36" s="3" t="s">
        <v>69</v>
      </c>
    </row>
    <row r="37" spans="2:9" x14ac:dyDescent="0.25">
      <c r="B37" s="1" t="s">
        <v>291</v>
      </c>
      <c r="C37" s="2">
        <v>46146.366631944446</v>
      </c>
      <c r="D37" s="1" t="s">
        <v>316</v>
      </c>
      <c r="E37" s="1" t="s">
        <v>4</v>
      </c>
      <c r="F37" s="1">
        <v>1</v>
      </c>
      <c r="G37" s="1">
        <v>215100</v>
      </c>
      <c r="H37" s="20">
        <v>215100</v>
      </c>
      <c r="I37" s="3" t="s">
        <v>69</v>
      </c>
    </row>
    <row r="38" spans="2:9" x14ac:dyDescent="0.25">
      <c r="B38" s="1" t="s">
        <v>291</v>
      </c>
      <c r="C38" s="2">
        <v>46146.367280092592</v>
      </c>
      <c r="D38" s="1" t="s">
        <v>317</v>
      </c>
      <c r="E38" s="1" t="s">
        <v>2</v>
      </c>
      <c r="F38" s="1">
        <v>2</v>
      </c>
      <c r="G38" s="1">
        <v>112800</v>
      </c>
      <c r="H38" s="20">
        <v>225600</v>
      </c>
      <c r="I38" s="3" t="s">
        <v>69</v>
      </c>
    </row>
    <row r="39" spans="2:9" x14ac:dyDescent="0.25">
      <c r="B39" s="1" t="s">
        <v>291</v>
      </c>
      <c r="C39" s="2">
        <v>46146.367280092592</v>
      </c>
      <c r="D39" s="1" t="s">
        <v>317</v>
      </c>
      <c r="E39" s="1" t="s">
        <v>4</v>
      </c>
      <c r="F39" s="1">
        <v>3</v>
      </c>
      <c r="G39" s="1">
        <v>215100</v>
      </c>
      <c r="H39" s="20">
        <v>645300</v>
      </c>
      <c r="I39" s="3" t="s">
        <v>69</v>
      </c>
    </row>
    <row r="40" spans="2:9" x14ac:dyDescent="0.25">
      <c r="B40" s="1" t="s">
        <v>291</v>
      </c>
      <c r="C40" s="2">
        <v>46146.368043981478</v>
      </c>
      <c r="D40" s="1" t="s">
        <v>318</v>
      </c>
      <c r="E40" s="1" t="s">
        <v>2</v>
      </c>
      <c r="F40" s="1">
        <v>2</v>
      </c>
      <c r="G40" s="1">
        <v>112800</v>
      </c>
      <c r="H40" s="20">
        <v>225600</v>
      </c>
      <c r="I40" s="3" t="s">
        <v>69</v>
      </c>
    </row>
    <row r="41" spans="2:9" x14ac:dyDescent="0.25">
      <c r="B41" s="1" t="s">
        <v>291</v>
      </c>
      <c r="C41" s="2">
        <v>46146.368043981478</v>
      </c>
      <c r="D41" s="1" t="s">
        <v>318</v>
      </c>
      <c r="E41" s="1" t="s">
        <v>4</v>
      </c>
      <c r="F41" s="1">
        <v>6</v>
      </c>
      <c r="G41" s="1">
        <v>215100</v>
      </c>
      <c r="H41" s="20">
        <v>1290600</v>
      </c>
      <c r="I41" s="3" t="s">
        <v>69</v>
      </c>
    </row>
    <row r="42" spans="2:9" x14ac:dyDescent="0.25">
      <c r="B42" s="1" t="s">
        <v>291</v>
      </c>
      <c r="C42" s="2">
        <v>46146.368900462963</v>
      </c>
      <c r="D42" s="1" t="s">
        <v>319</v>
      </c>
      <c r="E42" s="1" t="s">
        <v>2</v>
      </c>
      <c r="F42" s="1">
        <v>2</v>
      </c>
      <c r="G42" s="1">
        <v>112800</v>
      </c>
      <c r="H42" s="20">
        <v>225600</v>
      </c>
      <c r="I42" s="3" t="s">
        <v>69</v>
      </c>
    </row>
    <row r="43" spans="2:9" x14ac:dyDescent="0.25">
      <c r="B43" s="1" t="s">
        <v>291</v>
      </c>
      <c r="C43" s="2">
        <v>46146.368900462963</v>
      </c>
      <c r="D43" s="1" t="s">
        <v>319</v>
      </c>
      <c r="E43" s="1" t="s">
        <v>4</v>
      </c>
      <c r="F43" s="1">
        <v>3</v>
      </c>
      <c r="G43" s="1">
        <v>215100</v>
      </c>
      <c r="H43" s="20">
        <v>645300</v>
      </c>
      <c r="I43" s="3" t="s">
        <v>69</v>
      </c>
    </row>
    <row r="44" spans="2:9" x14ac:dyDescent="0.25">
      <c r="B44" s="1" t="s">
        <v>291</v>
      </c>
      <c r="C44" s="2">
        <v>46146.369756944441</v>
      </c>
      <c r="D44" s="1" t="s">
        <v>320</v>
      </c>
      <c r="E44" s="1" t="s">
        <v>4</v>
      </c>
      <c r="F44" s="1">
        <v>10</v>
      </c>
      <c r="G44" s="1">
        <v>215100</v>
      </c>
      <c r="H44" s="20">
        <v>2151000</v>
      </c>
      <c r="I44" s="3" t="s">
        <v>69</v>
      </c>
    </row>
    <row r="45" spans="2:9" x14ac:dyDescent="0.25">
      <c r="B45" s="1" t="s">
        <v>291</v>
      </c>
      <c r="C45" s="2">
        <v>46146.370243055557</v>
      </c>
      <c r="D45" s="1" t="s">
        <v>321</v>
      </c>
      <c r="E45" s="1" t="s">
        <v>4</v>
      </c>
      <c r="F45" s="1">
        <v>1</v>
      </c>
      <c r="G45" s="1">
        <v>215100</v>
      </c>
      <c r="H45" s="20">
        <v>215100</v>
      </c>
      <c r="I45" s="3" t="s">
        <v>3</v>
      </c>
    </row>
    <row r="46" spans="2:9" x14ac:dyDescent="0.25">
      <c r="B46" s="1" t="s">
        <v>291</v>
      </c>
      <c r="C46" s="2">
        <v>46146.370729166665</v>
      </c>
      <c r="D46" s="1" t="s">
        <v>322</v>
      </c>
      <c r="E46" s="1" t="s">
        <v>2</v>
      </c>
      <c r="F46" s="1">
        <v>1</v>
      </c>
      <c r="G46" s="1">
        <v>112800</v>
      </c>
      <c r="H46" s="20">
        <v>112800</v>
      </c>
      <c r="I46" s="3" t="s">
        <v>3</v>
      </c>
    </row>
    <row r="47" spans="2:9" x14ac:dyDescent="0.25">
      <c r="B47" s="1" t="s">
        <v>291</v>
      </c>
      <c r="C47" s="2">
        <v>46146.370729166665</v>
      </c>
      <c r="D47" s="1" t="s">
        <v>322</v>
      </c>
      <c r="E47" s="1" t="s">
        <v>4</v>
      </c>
      <c r="F47" s="1">
        <v>2</v>
      </c>
      <c r="G47" s="1">
        <v>215100</v>
      </c>
      <c r="H47" s="20">
        <v>430200</v>
      </c>
      <c r="I47" s="3" t="s">
        <v>3</v>
      </c>
    </row>
    <row r="48" spans="2:9" x14ac:dyDescent="0.25">
      <c r="B48" s="1" t="s">
        <v>291</v>
      </c>
      <c r="C48" s="2">
        <v>46146.371238425927</v>
      </c>
      <c r="D48" s="1" t="s">
        <v>323</v>
      </c>
      <c r="E48" s="1" t="s">
        <v>4</v>
      </c>
      <c r="F48" s="1">
        <v>3</v>
      </c>
      <c r="G48" s="1">
        <v>215100</v>
      </c>
      <c r="H48" s="20">
        <v>645300</v>
      </c>
      <c r="I48" s="3" t="s">
        <v>3</v>
      </c>
    </row>
    <row r="49" spans="2:9" x14ac:dyDescent="0.25">
      <c r="B49" s="1" t="s">
        <v>291</v>
      </c>
      <c r="C49" s="2">
        <v>46146.371666666666</v>
      </c>
      <c r="D49" s="1" t="s">
        <v>324</v>
      </c>
      <c r="E49" s="1" t="s">
        <v>4</v>
      </c>
      <c r="F49" s="1">
        <v>5</v>
      </c>
      <c r="G49" s="1">
        <v>215100</v>
      </c>
      <c r="H49" s="20">
        <v>1075500</v>
      </c>
      <c r="I49" s="3" t="s">
        <v>3</v>
      </c>
    </row>
    <row r="50" spans="2:9" x14ac:dyDescent="0.25">
      <c r="B50" s="1" t="s">
        <v>291</v>
      </c>
      <c r="C50" s="2">
        <v>46146.372118055559</v>
      </c>
      <c r="D50" s="1" t="s">
        <v>325</v>
      </c>
      <c r="E50" s="1" t="s">
        <v>2</v>
      </c>
      <c r="F50" s="1">
        <v>1</v>
      </c>
      <c r="G50" s="1">
        <v>112800</v>
      </c>
      <c r="H50" s="20">
        <v>112800</v>
      </c>
      <c r="I50" s="3" t="s">
        <v>69</v>
      </c>
    </row>
    <row r="51" spans="2:9" x14ac:dyDescent="0.25">
      <c r="B51" s="1" t="s">
        <v>291</v>
      </c>
      <c r="C51" s="2">
        <v>46146.372118055559</v>
      </c>
      <c r="D51" s="1" t="s">
        <v>325</v>
      </c>
      <c r="E51" s="1" t="s">
        <v>4</v>
      </c>
      <c r="F51" s="1">
        <v>3</v>
      </c>
      <c r="G51" s="1">
        <v>215100</v>
      </c>
      <c r="H51" s="20">
        <v>645300</v>
      </c>
      <c r="I51" s="3" t="s">
        <v>69</v>
      </c>
    </row>
    <row r="52" spans="2:9" x14ac:dyDescent="0.25">
      <c r="B52" s="1" t="s">
        <v>291</v>
      </c>
      <c r="C52" s="2">
        <v>46146.372615740744</v>
      </c>
      <c r="D52" s="1" t="s">
        <v>318</v>
      </c>
      <c r="E52" s="1" t="s">
        <v>2</v>
      </c>
      <c r="F52" s="1">
        <v>2</v>
      </c>
      <c r="G52" s="1">
        <v>112800</v>
      </c>
      <c r="H52" s="20">
        <v>225600</v>
      </c>
      <c r="I52" s="3" t="s">
        <v>69</v>
      </c>
    </row>
    <row r="53" spans="2:9" x14ac:dyDescent="0.25">
      <c r="B53" s="1" t="s">
        <v>291</v>
      </c>
      <c r="C53" s="2">
        <v>46146.372615740744</v>
      </c>
      <c r="D53" s="1" t="s">
        <v>318</v>
      </c>
      <c r="E53" s="1" t="s">
        <v>4</v>
      </c>
      <c r="F53" s="1">
        <v>3</v>
      </c>
      <c r="G53" s="1">
        <v>215100</v>
      </c>
      <c r="H53" s="20">
        <v>645300</v>
      </c>
      <c r="I53" s="3" t="s">
        <v>69</v>
      </c>
    </row>
    <row r="54" spans="2:9" x14ac:dyDescent="0.25">
      <c r="B54" s="1" t="s">
        <v>291</v>
      </c>
      <c r="C54" s="2">
        <v>46146.373090277775</v>
      </c>
      <c r="D54" s="1" t="s">
        <v>326</v>
      </c>
      <c r="E54" s="1" t="s">
        <v>4</v>
      </c>
      <c r="F54" s="1">
        <v>10</v>
      </c>
      <c r="G54" s="1">
        <v>215100</v>
      </c>
      <c r="H54" s="20">
        <v>2151000</v>
      </c>
      <c r="I54" s="3" t="s">
        <v>3</v>
      </c>
    </row>
    <row r="55" spans="2:9" x14ac:dyDescent="0.25">
      <c r="B55" s="1" t="s">
        <v>291</v>
      </c>
      <c r="C55" s="2">
        <v>46146.373553240737</v>
      </c>
      <c r="D55" s="1" t="s">
        <v>327</v>
      </c>
      <c r="E55" s="1" t="s">
        <v>2</v>
      </c>
      <c r="F55" s="1">
        <v>1</v>
      </c>
      <c r="G55" s="1">
        <v>112800</v>
      </c>
      <c r="H55" s="20">
        <v>112800</v>
      </c>
      <c r="I55" s="3" t="s">
        <v>69</v>
      </c>
    </row>
    <row r="56" spans="2:9" x14ac:dyDescent="0.25">
      <c r="B56" s="1" t="s">
        <v>291</v>
      </c>
      <c r="C56" s="2">
        <v>46146.373553240737</v>
      </c>
      <c r="D56" s="1" t="s">
        <v>327</v>
      </c>
      <c r="E56" s="1" t="s">
        <v>4</v>
      </c>
      <c r="F56" s="1">
        <v>3</v>
      </c>
      <c r="G56" s="1">
        <v>215100</v>
      </c>
      <c r="H56" s="20">
        <v>645300</v>
      </c>
      <c r="I56" s="3" t="s">
        <v>69</v>
      </c>
    </row>
    <row r="57" spans="2:9" x14ac:dyDescent="0.25">
      <c r="B57" s="1" t="s">
        <v>291</v>
      </c>
      <c r="C57" s="2">
        <v>46146.374710648146</v>
      </c>
      <c r="D57" s="1" t="s">
        <v>135</v>
      </c>
      <c r="E57" s="1" t="s">
        <v>2</v>
      </c>
      <c r="F57" s="1">
        <v>1</v>
      </c>
      <c r="G57" s="1">
        <v>112800</v>
      </c>
      <c r="H57" s="20">
        <v>112800</v>
      </c>
      <c r="I57" s="3" t="s">
        <v>69</v>
      </c>
    </row>
    <row r="58" spans="2:9" x14ac:dyDescent="0.25">
      <c r="B58" s="1" t="s">
        <v>291</v>
      </c>
      <c r="C58" s="2">
        <v>46146.374710648146</v>
      </c>
      <c r="D58" s="1" t="s">
        <v>135</v>
      </c>
      <c r="E58" s="1" t="s">
        <v>4</v>
      </c>
      <c r="F58" s="1">
        <v>2</v>
      </c>
      <c r="G58" s="1">
        <v>215100</v>
      </c>
      <c r="H58" s="20">
        <v>430200</v>
      </c>
      <c r="I58" s="3" t="s">
        <v>69</v>
      </c>
    </row>
    <row r="59" spans="2:9" x14ac:dyDescent="0.25">
      <c r="B59" s="1" t="s">
        <v>291</v>
      </c>
      <c r="C59" s="2">
        <v>46146.375474537039</v>
      </c>
      <c r="D59" s="1" t="s">
        <v>328</v>
      </c>
      <c r="E59" s="1" t="s">
        <v>2</v>
      </c>
      <c r="F59" s="1">
        <v>10</v>
      </c>
      <c r="G59" s="1">
        <v>112800</v>
      </c>
      <c r="H59" s="20">
        <v>1128000</v>
      </c>
      <c r="I59" s="3" t="s">
        <v>3</v>
      </c>
    </row>
    <row r="60" spans="2:9" x14ac:dyDescent="0.25">
      <c r="B60" s="1" t="s">
        <v>291</v>
      </c>
      <c r="C60" s="2">
        <v>46146.376099537039</v>
      </c>
      <c r="D60" s="1" t="s">
        <v>329</v>
      </c>
      <c r="E60" s="1" t="s">
        <v>4</v>
      </c>
      <c r="F60" s="1">
        <v>13</v>
      </c>
      <c r="G60" s="1">
        <v>215100</v>
      </c>
      <c r="H60" s="20">
        <v>2796300</v>
      </c>
      <c r="I60" s="3" t="s">
        <v>3</v>
      </c>
    </row>
    <row r="61" spans="2:9" x14ac:dyDescent="0.25">
      <c r="B61" s="1" t="s">
        <v>291</v>
      </c>
      <c r="C61" s="2">
        <v>46147.32576388889</v>
      </c>
      <c r="D61" s="1" t="s">
        <v>330</v>
      </c>
      <c r="E61" s="1" t="s">
        <v>4</v>
      </c>
      <c r="F61" s="1">
        <v>1</v>
      </c>
      <c r="G61" s="1">
        <v>215100</v>
      </c>
      <c r="H61" s="20">
        <v>215100</v>
      </c>
      <c r="I61" s="3" t="s">
        <v>3</v>
      </c>
    </row>
    <row r="62" spans="2:9" x14ac:dyDescent="0.25">
      <c r="B62" s="1" t="s">
        <v>291</v>
      </c>
      <c r="C62" s="2">
        <v>46147.326238425929</v>
      </c>
      <c r="D62" s="1" t="s">
        <v>331</v>
      </c>
      <c r="E62" s="1" t="s">
        <v>4</v>
      </c>
      <c r="F62" s="1">
        <v>1</v>
      </c>
      <c r="G62" s="1">
        <v>215100</v>
      </c>
      <c r="H62" s="20">
        <v>215100</v>
      </c>
      <c r="I62" s="3" t="s">
        <v>3</v>
      </c>
    </row>
    <row r="63" spans="2:9" x14ac:dyDescent="0.25">
      <c r="B63" s="1" t="s">
        <v>291</v>
      </c>
      <c r="C63" s="2">
        <v>46147.326805555553</v>
      </c>
      <c r="D63" s="1" t="s">
        <v>320</v>
      </c>
      <c r="E63" s="1" t="s">
        <v>2</v>
      </c>
      <c r="F63" s="1">
        <v>4</v>
      </c>
      <c r="G63" s="1">
        <v>112800</v>
      </c>
      <c r="H63" s="20">
        <v>451200</v>
      </c>
      <c r="I63" s="3" t="s">
        <v>69</v>
      </c>
    </row>
    <row r="64" spans="2:9" x14ac:dyDescent="0.25">
      <c r="B64" s="1" t="s">
        <v>291</v>
      </c>
      <c r="C64" s="2">
        <v>46147.326805555553</v>
      </c>
      <c r="D64" s="1" t="s">
        <v>320</v>
      </c>
      <c r="E64" s="1" t="s">
        <v>4</v>
      </c>
      <c r="F64" s="1">
        <v>5</v>
      </c>
      <c r="G64" s="1">
        <v>215100</v>
      </c>
      <c r="H64" s="20">
        <v>1075500</v>
      </c>
      <c r="I64" s="3" t="s">
        <v>69</v>
      </c>
    </row>
    <row r="65" spans="2:9" x14ac:dyDescent="0.25">
      <c r="B65" s="1" t="s">
        <v>291</v>
      </c>
      <c r="C65" s="2">
        <v>46147.327951388892</v>
      </c>
      <c r="D65" s="1" t="s">
        <v>332</v>
      </c>
      <c r="E65" s="1" t="s">
        <v>2</v>
      </c>
      <c r="F65" s="1">
        <v>5</v>
      </c>
      <c r="G65" s="1">
        <v>112800</v>
      </c>
      <c r="H65" s="20">
        <v>564000</v>
      </c>
      <c r="I65" s="3" t="s">
        <v>69</v>
      </c>
    </row>
    <row r="66" spans="2:9" x14ac:dyDescent="0.25">
      <c r="B66" s="1" t="s">
        <v>291</v>
      </c>
      <c r="C66" s="2">
        <v>46147.327951388892</v>
      </c>
      <c r="D66" s="1" t="s">
        <v>332</v>
      </c>
      <c r="E66" s="1" t="s">
        <v>4</v>
      </c>
      <c r="F66" s="1">
        <v>10</v>
      </c>
      <c r="G66" s="1">
        <v>215100</v>
      </c>
      <c r="H66" s="20">
        <v>2151000</v>
      </c>
      <c r="I66" s="3" t="s">
        <v>69</v>
      </c>
    </row>
    <row r="67" spans="2:9" x14ac:dyDescent="0.25">
      <c r="B67" s="1" t="s">
        <v>291</v>
      </c>
      <c r="C67" s="2">
        <v>46147.328599537039</v>
      </c>
      <c r="D67" s="1" t="s">
        <v>333</v>
      </c>
      <c r="E67" s="1" t="s">
        <v>2</v>
      </c>
      <c r="F67" s="1">
        <v>10</v>
      </c>
      <c r="G67" s="1">
        <v>112800</v>
      </c>
      <c r="H67" s="20">
        <v>1128000</v>
      </c>
      <c r="I67" s="3" t="s">
        <v>3</v>
      </c>
    </row>
    <row r="68" spans="2:9" x14ac:dyDescent="0.25">
      <c r="B68" s="1" t="s">
        <v>291</v>
      </c>
      <c r="C68" s="2">
        <v>46147.32917824074</v>
      </c>
      <c r="D68" s="1" t="s">
        <v>334</v>
      </c>
      <c r="E68" s="1" t="s">
        <v>2</v>
      </c>
      <c r="F68" s="1">
        <v>1</v>
      </c>
      <c r="G68" s="1">
        <v>112800</v>
      </c>
      <c r="H68" s="20">
        <v>112800</v>
      </c>
      <c r="I68" s="3" t="s">
        <v>69</v>
      </c>
    </row>
    <row r="69" spans="2:9" x14ac:dyDescent="0.25">
      <c r="B69" s="1" t="s">
        <v>291</v>
      </c>
      <c r="C69" s="2">
        <v>46147.329687500001</v>
      </c>
      <c r="D69" s="1" t="s">
        <v>335</v>
      </c>
      <c r="E69" s="1" t="s">
        <v>4</v>
      </c>
      <c r="F69" s="1">
        <v>2</v>
      </c>
      <c r="G69" s="1">
        <v>215100</v>
      </c>
      <c r="H69" s="20">
        <v>430200</v>
      </c>
      <c r="I69" s="3" t="s">
        <v>69</v>
      </c>
    </row>
    <row r="70" spans="2:9" x14ac:dyDescent="0.25">
      <c r="B70" s="1" t="s">
        <v>291</v>
      </c>
      <c r="C70" s="2">
        <v>46147.33079861111</v>
      </c>
      <c r="D70" s="1" t="s">
        <v>336</v>
      </c>
      <c r="E70" s="1" t="s">
        <v>2</v>
      </c>
      <c r="F70" s="1">
        <v>6</v>
      </c>
      <c r="G70" s="1">
        <v>112800</v>
      </c>
      <c r="H70" s="20">
        <v>676800</v>
      </c>
      <c r="I70" s="3" t="s">
        <v>69</v>
      </c>
    </row>
    <row r="71" spans="2:9" x14ac:dyDescent="0.25">
      <c r="B71" s="1" t="s">
        <v>291</v>
      </c>
      <c r="C71" s="2">
        <v>46147.33079861111</v>
      </c>
      <c r="D71" s="1" t="s">
        <v>336</v>
      </c>
      <c r="E71" s="1" t="s">
        <v>4</v>
      </c>
      <c r="F71" s="1">
        <v>6</v>
      </c>
      <c r="G71" s="1">
        <v>215100</v>
      </c>
      <c r="H71" s="20">
        <v>1290600</v>
      </c>
      <c r="I71" s="3" t="s">
        <v>69</v>
      </c>
    </row>
    <row r="72" spans="2:9" x14ac:dyDescent="0.25">
      <c r="B72" s="1" t="s">
        <v>291</v>
      </c>
      <c r="C72" s="2">
        <v>46147.331354166665</v>
      </c>
      <c r="D72" s="1" t="s">
        <v>337</v>
      </c>
      <c r="E72" s="1" t="s">
        <v>4</v>
      </c>
      <c r="F72" s="1">
        <v>5</v>
      </c>
      <c r="G72" s="1">
        <v>215100</v>
      </c>
      <c r="H72" s="20">
        <v>1075500</v>
      </c>
      <c r="I72" s="3" t="s">
        <v>3</v>
      </c>
    </row>
    <row r="73" spans="2:9" x14ac:dyDescent="0.25">
      <c r="B73" s="1" t="s">
        <v>291</v>
      </c>
      <c r="C73" s="2">
        <v>46148.318877314814</v>
      </c>
      <c r="D73" s="1" t="s">
        <v>338</v>
      </c>
      <c r="E73" s="1" t="s">
        <v>2</v>
      </c>
      <c r="F73" s="1">
        <v>15</v>
      </c>
      <c r="G73" s="1">
        <v>112800</v>
      </c>
      <c r="H73" s="20">
        <v>1692000</v>
      </c>
      <c r="I73" s="3" t="s">
        <v>69</v>
      </c>
    </row>
    <row r="74" spans="2:9" x14ac:dyDescent="0.25">
      <c r="B74" s="1" t="s">
        <v>291</v>
      </c>
      <c r="C74" s="2">
        <v>46148.318877314814</v>
      </c>
      <c r="D74" s="1" t="s">
        <v>338</v>
      </c>
      <c r="E74" s="1" t="s">
        <v>4</v>
      </c>
      <c r="F74" s="1">
        <v>25</v>
      </c>
      <c r="G74" s="1">
        <v>215100</v>
      </c>
      <c r="H74" s="20">
        <v>5377500</v>
      </c>
      <c r="I74" s="3" t="s">
        <v>69</v>
      </c>
    </row>
    <row r="75" spans="2:9" x14ac:dyDescent="0.25">
      <c r="B75" s="1" t="s">
        <v>291</v>
      </c>
      <c r="C75" s="2">
        <v>46148.319444444445</v>
      </c>
      <c r="D75" s="1" t="s">
        <v>339</v>
      </c>
      <c r="E75" s="1" t="s">
        <v>2</v>
      </c>
      <c r="F75" s="1">
        <v>2</v>
      </c>
      <c r="G75" s="1">
        <v>112800</v>
      </c>
      <c r="H75" s="20">
        <v>225600</v>
      </c>
      <c r="I75" s="3" t="s">
        <v>3</v>
      </c>
    </row>
    <row r="76" spans="2:9" x14ac:dyDescent="0.25">
      <c r="B76" s="1" t="s">
        <v>291</v>
      </c>
      <c r="C76" s="2">
        <v>46148.319444444445</v>
      </c>
      <c r="D76" s="1" t="s">
        <v>339</v>
      </c>
      <c r="E76" s="1" t="s">
        <v>4</v>
      </c>
      <c r="F76" s="1">
        <v>3</v>
      </c>
      <c r="G76" s="1">
        <v>215100</v>
      </c>
      <c r="H76" s="20">
        <v>645300</v>
      </c>
      <c r="I76" s="3" t="s">
        <v>3</v>
      </c>
    </row>
    <row r="77" spans="2:9" x14ac:dyDescent="0.25">
      <c r="B77" s="1" t="s">
        <v>291</v>
      </c>
      <c r="C77" s="2">
        <v>46148.319895833331</v>
      </c>
      <c r="D77" s="1" t="s">
        <v>340</v>
      </c>
      <c r="E77" s="1" t="s">
        <v>2</v>
      </c>
      <c r="F77" s="1">
        <v>10</v>
      </c>
      <c r="G77" s="1">
        <v>112800</v>
      </c>
      <c r="H77" s="20">
        <v>1128000</v>
      </c>
      <c r="I77" s="3" t="s">
        <v>3</v>
      </c>
    </row>
    <row r="78" spans="2:9" x14ac:dyDescent="0.25">
      <c r="B78" s="1" t="s">
        <v>291</v>
      </c>
      <c r="C78" s="2">
        <v>46148.32068287037</v>
      </c>
      <c r="D78" s="1" t="s">
        <v>341</v>
      </c>
      <c r="E78" s="1" t="s">
        <v>2</v>
      </c>
      <c r="F78" s="1">
        <v>1</v>
      </c>
      <c r="G78" s="1">
        <v>112800</v>
      </c>
      <c r="H78" s="20">
        <v>112800</v>
      </c>
      <c r="I78" s="3" t="s">
        <v>69</v>
      </c>
    </row>
    <row r="79" spans="2:9" x14ac:dyDescent="0.25">
      <c r="B79" s="1" t="s">
        <v>291</v>
      </c>
      <c r="C79" s="2">
        <v>46148.32068287037</v>
      </c>
      <c r="D79" s="1" t="s">
        <v>341</v>
      </c>
      <c r="E79" s="1" t="s">
        <v>4</v>
      </c>
      <c r="F79" s="1">
        <v>1</v>
      </c>
      <c r="G79" s="1">
        <v>215100</v>
      </c>
      <c r="H79" s="20">
        <v>215100</v>
      </c>
      <c r="I79" s="3" t="s">
        <v>69</v>
      </c>
    </row>
    <row r="80" spans="2:9" x14ac:dyDescent="0.25">
      <c r="B80" s="1" t="s">
        <v>291</v>
      </c>
      <c r="C80" s="2">
        <v>46148.326331018521</v>
      </c>
      <c r="D80" s="1" t="s">
        <v>342</v>
      </c>
      <c r="E80" s="1" t="s">
        <v>4</v>
      </c>
      <c r="F80" s="1">
        <v>3</v>
      </c>
      <c r="G80" s="1">
        <v>215100</v>
      </c>
      <c r="H80" s="20">
        <v>645300</v>
      </c>
      <c r="I80" s="3" t="s">
        <v>3</v>
      </c>
    </row>
    <row r="81" spans="2:9" x14ac:dyDescent="0.25">
      <c r="B81" s="1" t="s">
        <v>291</v>
      </c>
      <c r="C81" s="2">
        <v>46148.326331018521</v>
      </c>
      <c r="D81" s="1" t="s">
        <v>342</v>
      </c>
      <c r="E81" s="1" t="s">
        <v>2</v>
      </c>
      <c r="F81" s="1">
        <v>3</v>
      </c>
      <c r="G81" s="1">
        <v>112800</v>
      </c>
      <c r="H81" s="20">
        <v>338400</v>
      </c>
      <c r="I81" s="3" t="s">
        <v>3</v>
      </c>
    </row>
    <row r="82" spans="2:9" x14ac:dyDescent="0.25">
      <c r="B82" s="1" t="s">
        <v>291</v>
      </c>
      <c r="C82" s="2">
        <v>46148.321712962963</v>
      </c>
      <c r="D82" s="1" t="s">
        <v>61</v>
      </c>
      <c r="E82" s="1" t="s">
        <v>2</v>
      </c>
      <c r="F82" s="1">
        <v>1</v>
      </c>
      <c r="G82" s="1">
        <v>112800</v>
      </c>
      <c r="H82" s="20">
        <v>112800</v>
      </c>
      <c r="I82" s="3" t="s">
        <v>69</v>
      </c>
    </row>
    <row r="83" spans="2:9" x14ac:dyDescent="0.25">
      <c r="B83" s="1" t="s">
        <v>291</v>
      </c>
      <c r="C83" s="2">
        <v>46148.321712962963</v>
      </c>
      <c r="D83" s="1" t="s">
        <v>61</v>
      </c>
      <c r="E83" s="1" t="s">
        <v>4</v>
      </c>
      <c r="F83" s="1">
        <v>1</v>
      </c>
      <c r="G83" s="1">
        <v>215100</v>
      </c>
      <c r="H83" s="20">
        <v>215100</v>
      </c>
      <c r="I83" s="3" t="s">
        <v>69</v>
      </c>
    </row>
    <row r="84" spans="2:9" x14ac:dyDescent="0.25">
      <c r="B84" s="1" t="s">
        <v>291</v>
      </c>
      <c r="C84" s="2">
        <v>46148.322245370371</v>
      </c>
      <c r="D84" s="1" t="s">
        <v>343</v>
      </c>
      <c r="E84" s="1" t="s">
        <v>4</v>
      </c>
      <c r="F84" s="1">
        <v>1</v>
      </c>
      <c r="G84" s="1">
        <v>215100</v>
      </c>
      <c r="H84" s="20">
        <v>215100</v>
      </c>
      <c r="I84" s="3" t="s">
        <v>3</v>
      </c>
    </row>
    <row r="85" spans="2:9" x14ac:dyDescent="0.25">
      <c r="B85" s="1" t="s">
        <v>291</v>
      </c>
      <c r="C85" s="2">
        <v>46148.322766203702</v>
      </c>
      <c r="D85" s="1" t="s">
        <v>344</v>
      </c>
      <c r="E85" s="1" t="s">
        <v>2</v>
      </c>
      <c r="F85" s="1">
        <v>5</v>
      </c>
      <c r="G85" s="1">
        <v>112800</v>
      </c>
      <c r="H85" s="20">
        <v>564000</v>
      </c>
      <c r="I85" s="3" t="s">
        <v>3</v>
      </c>
    </row>
    <row r="86" spans="2:9" x14ac:dyDescent="0.25">
      <c r="B86" s="1" t="s">
        <v>291</v>
      </c>
      <c r="C86" s="2">
        <v>46148.322766203702</v>
      </c>
      <c r="D86" s="1" t="s">
        <v>344</v>
      </c>
      <c r="E86" s="1" t="s">
        <v>4</v>
      </c>
      <c r="F86" s="1">
        <v>10</v>
      </c>
      <c r="G86" s="1">
        <v>215100</v>
      </c>
      <c r="H86" s="20">
        <v>2151000</v>
      </c>
      <c r="I86" s="3" t="s">
        <v>3</v>
      </c>
    </row>
    <row r="87" spans="2:9" x14ac:dyDescent="0.25">
      <c r="B87" s="1" t="s">
        <v>291</v>
      </c>
      <c r="C87" s="2">
        <v>46148.323622685188</v>
      </c>
      <c r="D87" s="1" t="s">
        <v>345</v>
      </c>
      <c r="E87" s="1" t="s">
        <v>2</v>
      </c>
      <c r="F87" s="1">
        <v>3</v>
      </c>
      <c r="G87" s="1">
        <v>112800</v>
      </c>
      <c r="H87" s="20">
        <v>338400</v>
      </c>
      <c r="I87" s="3" t="s">
        <v>69</v>
      </c>
    </row>
    <row r="88" spans="2:9" x14ac:dyDescent="0.25">
      <c r="B88" s="1" t="s">
        <v>291</v>
      </c>
      <c r="C88" s="2">
        <v>46148.323622685188</v>
      </c>
      <c r="D88" s="1" t="s">
        <v>345</v>
      </c>
      <c r="E88" s="1" t="s">
        <v>4</v>
      </c>
      <c r="F88" s="1">
        <v>5</v>
      </c>
      <c r="G88" s="1">
        <v>215100</v>
      </c>
      <c r="H88" s="20">
        <v>1075500</v>
      </c>
      <c r="I88" s="3" t="s">
        <v>69</v>
      </c>
    </row>
    <row r="89" spans="2:9" x14ac:dyDescent="0.25">
      <c r="B89" s="1" t="s">
        <v>291</v>
      </c>
      <c r="C89" s="2">
        <v>46148.314606481479</v>
      </c>
      <c r="D89" s="1" t="s">
        <v>346</v>
      </c>
      <c r="E89" s="1" t="s">
        <v>2</v>
      </c>
      <c r="F89" s="1">
        <v>6</v>
      </c>
      <c r="G89" s="1">
        <v>112800</v>
      </c>
      <c r="H89" s="20">
        <v>676800</v>
      </c>
      <c r="I89" s="3" t="s">
        <v>3</v>
      </c>
    </row>
    <row r="90" spans="2:9" x14ac:dyDescent="0.25">
      <c r="B90" s="1" t="s">
        <v>291</v>
      </c>
      <c r="C90" s="2">
        <v>46149.342800925922</v>
      </c>
      <c r="D90" s="1" t="s">
        <v>347</v>
      </c>
      <c r="E90" s="1" t="s">
        <v>2</v>
      </c>
      <c r="F90" s="1">
        <v>2</v>
      </c>
      <c r="G90" s="1">
        <v>112800</v>
      </c>
      <c r="H90" s="20">
        <v>225600</v>
      </c>
      <c r="I90" s="3" t="s">
        <v>69</v>
      </c>
    </row>
    <row r="91" spans="2:9" x14ac:dyDescent="0.25">
      <c r="B91" s="1" t="s">
        <v>291</v>
      </c>
      <c r="C91" s="2">
        <v>46149.342800925922</v>
      </c>
      <c r="D91" s="1" t="s">
        <v>347</v>
      </c>
      <c r="E91" s="1" t="s">
        <v>4</v>
      </c>
      <c r="F91" s="1">
        <v>2</v>
      </c>
      <c r="G91" s="1">
        <v>215100</v>
      </c>
      <c r="H91" s="20">
        <v>430200</v>
      </c>
      <c r="I91" s="3" t="s">
        <v>69</v>
      </c>
    </row>
    <row r="92" spans="2:9" x14ac:dyDescent="0.25">
      <c r="B92" s="1" t="s">
        <v>291</v>
      </c>
      <c r="C92" s="2">
        <v>46149.344560185185</v>
      </c>
      <c r="D92" s="1" t="s">
        <v>348</v>
      </c>
      <c r="E92" s="1" t="s">
        <v>4</v>
      </c>
      <c r="F92" s="1">
        <v>3</v>
      </c>
      <c r="G92" s="1">
        <v>215100</v>
      </c>
      <c r="H92" s="20">
        <v>645300</v>
      </c>
      <c r="I92" s="3" t="s">
        <v>69</v>
      </c>
    </row>
    <row r="93" spans="2:9" x14ac:dyDescent="0.25">
      <c r="B93" s="1" t="s">
        <v>291</v>
      </c>
      <c r="C93" s="2">
        <v>46149.344560185185</v>
      </c>
      <c r="D93" s="1" t="s">
        <v>348</v>
      </c>
      <c r="E93" s="1" t="s">
        <v>2</v>
      </c>
      <c r="F93" s="1">
        <v>3</v>
      </c>
      <c r="G93" s="1">
        <v>112800</v>
      </c>
      <c r="H93" s="20">
        <v>338400</v>
      </c>
      <c r="I93" s="3" t="s">
        <v>69</v>
      </c>
    </row>
    <row r="94" spans="2:9" x14ac:dyDescent="0.25">
      <c r="B94" s="1" t="s">
        <v>291</v>
      </c>
      <c r="C94" s="2">
        <v>46149.345949074072</v>
      </c>
      <c r="D94" s="1" t="s">
        <v>349</v>
      </c>
      <c r="E94" s="1" t="s">
        <v>2</v>
      </c>
      <c r="F94" s="1">
        <v>1</v>
      </c>
      <c r="G94" s="1">
        <v>112800</v>
      </c>
      <c r="H94" s="20">
        <v>112800</v>
      </c>
      <c r="I94" s="3" t="s">
        <v>69</v>
      </c>
    </row>
    <row r="95" spans="2:9" x14ac:dyDescent="0.25">
      <c r="B95" s="1" t="s">
        <v>291</v>
      </c>
      <c r="C95" s="2">
        <v>46149.347025462965</v>
      </c>
      <c r="D95" s="1" t="s">
        <v>292</v>
      </c>
      <c r="E95" s="1" t="s">
        <v>2</v>
      </c>
      <c r="F95" s="1">
        <v>2</v>
      </c>
      <c r="G95" s="1">
        <v>112800</v>
      </c>
      <c r="H95" s="20">
        <v>225600</v>
      </c>
      <c r="I95" s="3" t="s">
        <v>69</v>
      </c>
    </row>
    <row r="96" spans="2:9" x14ac:dyDescent="0.25">
      <c r="B96" s="1" t="s">
        <v>291</v>
      </c>
      <c r="C96" s="2">
        <v>46149.347025462965</v>
      </c>
      <c r="D96" s="1" t="s">
        <v>292</v>
      </c>
      <c r="E96" s="1" t="s">
        <v>4</v>
      </c>
      <c r="F96" s="1">
        <v>2</v>
      </c>
      <c r="G96" s="1">
        <v>215100</v>
      </c>
      <c r="H96" s="20">
        <v>430200</v>
      </c>
      <c r="I96" s="3" t="s">
        <v>69</v>
      </c>
    </row>
    <row r="97" spans="2:9" x14ac:dyDescent="0.25">
      <c r="B97" s="1" t="s">
        <v>291</v>
      </c>
      <c r="C97" s="2">
        <v>46149.34747685185</v>
      </c>
      <c r="D97" s="1" t="s">
        <v>350</v>
      </c>
      <c r="E97" s="1" t="s">
        <v>2</v>
      </c>
      <c r="F97" s="1">
        <v>1</v>
      </c>
      <c r="G97" s="1">
        <v>112800</v>
      </c>
      <c r="H97" s="20">
        <v>112800</v>
      </c>
      <c r="I97" s="3" t="s">
        <v>3</v>
      </c>
    </row>
    <row r="98" spans="2:9" x14ac:dyDescent="0.25">
      <c r="B98" s="1" t="s">
        <v>291</v>
      </c>
      <c r="C98" s="2">
        <v>46149.34747685185</v>
      </c>
      <c r="D98" s="1" t="s">
        <v>350</v>
      </c>
      <c r="E98" s="1" t="s">
        <v>4</v>
      </c>
      <c r="F98" s="1">
        <v>1</v>
      </c>
      <c r="G98" s="1">
        <v>215100</v>
      </c>
      <c r="H98" s="20">
        <v>215100</v>
      </c>
      <c r="I98" s="3" t="s">
        <v>3</v>
      </c>
    </row>
    <row r="99" spans="2:9" x14ac:dyDescent="0.25">
      <c r="B99" s="1" t="s">
        <v>291</v>
      </c>
      <c r="C99" s="2">
        <v>46149.347928240742</v>
      </c>
      <c r="D99" s="1" t="s">
        <v>326</v>
      </c>
      <c r="E99" s="1" t="s">
        <v>4</v>
      </c>
      <c r="F99" s="1">
        <v>2</v>
      </c>
      <c r="G99" s="1">
        <v>215100</v>
      </c>
      <c r="H99" s="20">
        <v>430200</v>
      </c>
      <c r="I99" s="3" t="s">
        <v>3</v>
      </c>
    </row>
    <row r="100" spans="2:9" x14ac:dyDescent="0.25">
      <c r="B100" s="1" t="s">
        <v>291</v>
      </c>
      <c r="C100" s="2">
        <v>46149.348321759258</v>
      </c>
      <c r="D100" s="1" t="s">
        <v>351</v>
      </c>
      <c r="E100" s="1" t="s">
        <v>2</v>
      </c>
      <c r="F100" s="1">
        <v>2</v>
      </c>
      <c r="G100" s="1">
        <v>112800</v>
      </c>
      <c r="H100" s="20">
        <v>225600</v>
      </c>
      <c r="I100" s="3" t="s">
        <v>69</v>
      </c>
    </row>
    <row r="101" spans="2:9" x14ac:dyDescent="0.25">
      <c r="B101" s="1" t="s">
        <v>291</v>
      </c>
      <c r="C101" s="2">
        <v>46149.348321759258</v>
      </c>
      <c r="D101" s="1" t="s">
        <v>351</v>
      </c>
      <c r="E101" s="1" t="s">
        <v>4</v>
      </c>
      <c r="F101" s="1">
        <v>2</v>
      </c>
      <c r="G101" s="1">
        <v>215100</v>
      </c>
      <c r="H101" s="20">
        <v>430200</v>
      </c>
      <c r="I101" s="3" t="s">
        <v>69</v>
      </c>
    </row>
    <row r="102" spans="2:9" x14ac:dyDescent="0.25">
      <c r="B102" s="1" t="s">
        <v>291</v>
      </c>
      <c r="C102" s="2">
        <v>46149.348796296297</v>
      </c>
      <c r="D102" s="1" t="s">
        <v>352</v>
      </c>
      <c r="E102" s="1" t="s">
        <v>2</v>
      </c>
      <c r="F102" s="1">
        <v>2</v>
      </c>
      <c r="G102" s="1">
        <v>112800</v>
      </c>
      <c r="H102" s="20">
        <v>225600</v>
      </c>
      <c r="I102" s="3" t="s">
        <v>3</v>
      </c>
    </row>
    <row r="103" spans="2:9" x14ac:dyDescent="0.25">
      <c r="B103" s="1" t="s">
        <v>291</v>
      </c>
      <c r="C103" s="2">
        <v>46149.348796296297</v>
      </c>
      <c r="D103" s="1" t="s">
        <v>352</v>
      </c>
      <c r="E103" s="1" t="s">
        <v>4</v>
      </c>
      <c r="F103" s="1">
        <v>3</v>
      </c>
      <c r="G103" s="1">
        <v>215100</v>
      </c>
      <c r="H103" s="20">
        <v>645300</v>
      </c>
      <c r="I103" s="3" t="s">
        <v>3</v>
      </c>
    </row>
    <row r="104" spans="2:9" x14ac:dyDescent="0.25">
      <c r="B104" s="1" t="s">
        <v>291</v>
      </c>
      <c r="C104" s="2">
        <v>46149.349131944444</v>
      </c>
      <c r="D104" s="1" t="s">
        <v>353</v>
      </c>
      <c r="E104" s="1" t="s">
        <v>4</v>
      </c>
      <c r="F104" s="1">
        <v>1</v>
      </c>
      <c r="G104" s="1">
        <v>215100</v>
      </c>
      <c r="H104" s="20">
        <v>215100</v>
      </c>
      <c r="I104" s="3" t="s">
        <v>3</v>
      </c>
    </row>
    <row r="105" spans="2:9" x14ac:dyDescent="0.25">
      <c r="B105" s="1" t="s">
        <v>291</v>
      </c>
      <c r="C105" s="2">
        <v>46149.349652777775</v>
      </c>
      <c r="D105" s="1" t="s">
        <v>354</v>
      </c>
      <c r="E105" s="1" t="s">
        <v>4</v>
      </c>
      <c r="F105" s="1">
        <v>5</v>
      </c>
      <c r="G105" s="1">
        <v>215100</v>
      </c>
      <c r="H105" s="20">
        <v>1075500</v>
      </c>
      <c r="I105" s="3" t="s">
        <v>3</v>
      </c>
    </row>
    <row r="106" spans="2:9" x14ac:dyDescent="0.25">
      <c r="B106" s="1" t="s">
        <v>291</v>
      </c>
      <c r="C106" s="2">
        <v>46149.350497685184</v>
      </c>
      <c r="D106" s="1" t="s">
        <v>355</v>
      </c>
      <c r="E106" s="1" t="s">
        <v>2</v>
      </c>
      <c r="F106" s="1">
        <v>2</v>
      </c>
      <c r="G106" s="1">
        <v>112800</v>
      </c>
      <c r="H106" s="20">
        <v>225600</v>
      </c>
      <c r="I106" s="3" t="s">
        <v>69</v>
      </c>
    </row>
    <row r="107" spans="2:9" x14ac:dyDescent="0.25">
      <c r="B107" s="1" t="s">
        <v>291</v>
      </c>
      <c r="C107" s="2">
        <v>46149.350497685184</v>
      </c>
      <c r="D107" s="1" t="s">
        <v>355</v>
      </c>
      <c r="E107" s="1" t="s">
        <v>4</v>
      </c>
      <c r="F107" s="1">
        <v>1</v>
      </c>
      <c r="G107" s="1">
        <v>215100</v>
      </c>
      <c r="H107" s="20">
        <v>215100</v>
      </c>
      <c r="I107" s="3" t="s">
        <v>69</v>
      </c>
    </row>
    <row r="108" spans="2:9" x14ac:dyDescent="0.25">
      <c r="B108" s="1" t="s">
        <v>291</v>
      </c>
      <c r="C108" s="2">
        <v>46149.350844907407</v>
      </c>
      <c r="D108" s="1" t="s">
        <v>356</v>
      </c>
      <c r="E108" s="1" t="s">
        <v>2</v>
      </c>
      <c r="F108" s="1">
        <v>1</v>
      </c>
      <c r="G108" s="1">
        <v>112800</v>
      </c>
      <c r="H108" s="20">
        <v>112800</v>
      </c>
      <c r="I108" s="3" t="s">
        <v>69</v>
      </c>
    </row>
    <row r="109" spans="2:9" x14ac:dyDescent="0.25">
      <c r="B109" s="1" t="s">
        <v>291</v>
      </c>
      <c r="C109" s="2">
        <v>46149.350844907407</v>
      </c>
      <c r="D109" s="1" t="s">
        <v>356</v>
      </c>
      <c r="E109" s="1" t="s">
        <v>4</v>
      </c>
      <c r="F109" s="1">
        <v>1</v>
      </c>
      <c r="G109" s="1">
        <v>215100</v>
      </c>
      <c r="H109" s="20">
        <v>215100</v>
      </c>
      <c r="I109" s="3" t="s">
        <v>69</v>
      </c>
    </row>
    <row r="110" spans="2:9" x14ac:dyDescent="0.25">
      <c r="B110" s="1" t="s">
        <v>291</v>
      </c>
      <c r="C110" s="2">
        <v>46149.470277777778</v>
      </c>
      <c r="D110" s="1" t="s">
        <v>357</v>
      </c>
      <c r="E110" s="1" t="s">
        <v>4</v>
      </c>
      <c r="F110" s="1">
        <v>1</v>
      </c>
      <c r="G110" s="1">
        <v>215100</v>
      </c>
      <c r="H110" s="20">
        <v>215100</v>
      </c>
      <c r="I110" s="3" t="s">
        <v>69</v>
      </c>
    </row>
    <row r="111" spans="2:9" x14ac:dyDescent="0.25">
      <c r="B111" s="1" t="s">
        <v>291</v>
      </c>
      <c r="C111" s="2">
        <v>46149.470277777778</v>
      </c>
      <c r="D111" s="1" t="s">
        <v>357</v>
      </c>
      <c r="E111" s="1" t="s">
        <v>2</v>
      </c>
      <c r="F111" s="1">
        <v>1</v>
      </c>
      <c r="G111" s="1">
        <v>112800</v>
      </c>
      <c r="H111" s="20">
        <v>112800</v>
      </c>
      <c r="I111" s="3" t="s">
        <v>69</v>
      </c>
    </row>
    <row r="112" spans="2:9" x14ac:dyDescent="0.25">
      <c r="B112" s="1" t="s">
        <v>291</v>
      </c>
      <c r="C112" s="2">
        <v>46149.351898148147</v>
      </c>
      <c r="D112" s="1" t="s">
        <v>358</v>
      </c>
      <c r="E112" s="1" t="s">
        <v>2</v>
      </c>
      <c r="F112" s="1">
        <v>1</v>
      </c>
      <c r="G112" s="1">
        <v>112800</v>
      </c>
      <c r="H112" s="20">
        <v>112800</v>
      </c>
      <c r="I112" s="3" t="s">
        <v>69</v>
      </c>
    </row>
    <row r="113" spans="2:9" x14ac:dyDescent="0.25">
      <c r="B113" s="1" t="s">
        <v>291</v>
      </c>
      <c r="C113" s="2">
        <v>46149.351898148147</v>
      </c>
      <c r="D113" s="1" t="s">
        <v>358</v>
      </c>
      <c r="E113" s="1" t="s">
        <v>4</v>
      </c>
      <c r="F113" s="1">
        <v>1</v>
      </c>
      <c r="G113" s="1">
        <v>215100</v>
      </c>
      <c r="H113" s="20">
        <v>215100</v>
      </c>
      <c r="I113" s="3" t="s">
        <v>69</v>
      </c>
    </row>
    <row r="114" spans="2:9" x14ac:dyDescent="0.25">
      <c r="B114" s="1" t="s">
        <v>291</v>
      </c>
      <c r="C114" s="2">
        <v>46149.352650462963</v>
      </c>
      <c r="D114" s="1" t="s">
        <v>359</v>
      </c>
      <c r="E114" s="1" t="s">
        <v>2</v>
      </c>
      <c r="F114" s="1">
        <v>1</v>
      </c>
      <c r="G114" s="1">
        <v>112800</v>
      </c>
      <c r="H114" s="20">
        <v>112800</v>
      </c>
      <c r="I114" s="3" t="s">
        <v>69</v>
      </c>
    </row>
    <row r="115" spans="2:9" x14ac:dyDescent="0.25">
      <c r="B115" s="1" t="s">
        <v>291</v>
      </c>
      <c r="C115" s="2">
        <v>46149.352650462963</v>
      </c>
      <c r="D115" s="1" t="s">
        <v>359</v>
      </c>
      <c r="E115" s="1" t="s">
        <v>4</v>
      </c>
      <c r="F115" s="1">
        <v>1</v>
      </c>
      <c r="G115" s="1">
        <v>215100</v>
      </c>
      <c r="H115" s="20">
        <v>215100</v>
      </c>
      <c r="I115" s="3" t="s">
        <v>69</v>
      </c>
    </row>
    <row r="116" spans="2:9" x14ac:dyDescent="0.25">
      <c r="B116" s="1" t="s">
        <v>291</v>
      </c>
      <c r="C116" s="2">
        <v>46149.358715277776</v>
      </c>
      <c r="D116" s="1" t="s">
        <v>360</v>
      </c>
      <c r="E116" s="1" t="s">
        <v>2</v>
      </c>
      <c r="F116" s="1">
        <v>1</v>
      </c>
      <c r="G116" s="1">
        <v>112800</v>
      </c>
      <c r="H116" s="20">
        <v>112800</v>
      </c>
      <c r="I116" s="3" t="s">
        <v>69</v>
      </c>
    </row>
    <row r="117" spans="2:9" x14ac:dyDescent="0.25">
      <c r="B117" s="1" t="s">
        <v>291</v>
      </c>
      <c r="C117" s="2">
        <v>46149.358715277776</v>
      </c>
      <c r="D117" s="1" t="s">
        <v>360</v>
      </c>
      <c r="E117" s="1" t="s">
        <v>4</v>
      </c>
      <c r="F117" s="1">
        <v>1</v>
      </c>
      <c r="G117" s="1">
        <v>215100</v>
      </c>
      <c r="H117" s="20">
        <v>215100</v>
      </c>
      <c r="I117" s="3" t="s">
        <v>69</v>
      </c>
    </row>
    <row r="118" spans="2:9" x14ac:dyDescent="0.25">
      <c r="B118" s="1" t="s">
        <v>291</v>
      </c>
      <c r="C118" s="2">
        <v>46149.359247685185</v>
      </c>
      <c r="D118" s="1" t="s">
        <v>361</v>
      </c>
      <c r="E118" s="1" t="s">
        <v>2</v>
      </c>
      <c r="F118" s="1">
        <v>2</v>
      </c>
      <c r="G118" s="1">
        <v>112800</v>
      </c>
      <c r="H118" s="20">
        <v>225600</v>
      </c>
      <c r="I118" s="3" t="s">
        <v>69</v>
      </c>
    </row>
    <row r="119" spans="2:9" x14ac:dyDescent="0.25">
      <c r="B119" s="1" t="s">
        <v>291</v>
      </c>
      <c r="C119" s="2">
        <v>46149.359247685185</v>
      </c>
      <c r="D119" s="1" t="s">
        <v>361</v>
      </c>
      <c r="E119" s="1" t="s">
        <v>4</v>
      </c>
      <c r="F119" s="1">
        <v>2</v>
      </c>
      <c r="G119" s="1">
        <v>215100</v>
      </c>
      <c r="H119" s="20">
        <v>430200</v>
      </c>
      <c r="I119" s="3" t="s">
        <v>69</v>
      </c>
    </row>
    <row r="120" spans="2:9" x14ac:dyDescent="0.25">
      <c r="B120" s="1" t="s">
        <v>291</v>
      </c>
      <c r="C120" s="2">
        <v>46150.329456018517</v>
      </c>
      <c r="D120" s="1" t="s">
        <v>362</v>
      </c>
      <c r="E120" s="1" t="s">
        <v>2</v>
      </c>
      <c r="F120" s="1">
        <v>5</v>
      </c>
      <c r="G120" s="1">
        <v>112800</v>
      </c>
      <c r="H120" s="20">
        <v>564000</v>
      </c>
      <c r="I120" s="3" t="s">
        <v>3</v>
      </c>
    </row>
    <row r="121" spans="2:9" x14ac:dyDescent="0.25">
      <c r="B121" s="1" t="s">
        <v>291</v>
      </c>
      <c r="C121" s="2">
        <v>46150.329456018517</v>
      </c>
      <c r="D121" s="1" t="s">
        <v>362</v>
      </c>
      <c r="E121" s="1" t="s">
        <v>4</v>
      </c>
      <c r="F121" s="1">
        <v>5</v>
      </c>
      <c r="G121" s="1">
        <v>215100</v>
      </c>
      <c r="H121" s="20">
        <v>1075500</v>
      </c>
      <c r="I121" s="3" t="s">
        <v>3</v>
      </c>
    </row>
    <row r="122" spans="2:9" x14ac:dyDescent="0.25">
      <c r="B122" s="1" t="s">
        <v>291</v>
      </c>
      <c r="C122" s="2">
        <v>46150.33021990741</v>
      </c>
      <c r="D122" s="1" t="s">
        <v>363</v>
      </c>
      <c r="E122" s="1" t="s">
        <v>2</v>
      </c>
      <c r="F122" s="1">
        <v>1</v>
      </c>
      <c r="G122" s="1">
        <v>112800</v>
      </c>
      <c r="H122" s="20">
        <v>112800</v>
      </c>
      <c r="I122" s="3" t="s">
        <v>69</v>
      </c>
    </row>
    <row r="123" spans="2:9" x14ac:dyDescent="0.25">
      <c r="B123" s="1" t="s">
        <v>291</v>
      </c>
      <c r="C123" s="2">
        <v>46150.33021990741</v>
      </c>
      <c r="D123" s="1" t="s">
        <v>363</v>
      </c>
      <c r="E123" s="1" t="s">
        <v>4</v>
      </c>
      <c r="F123" s="1">
        <v>1</v>
      </c>
      <c r="G123" s="1">
        <v>215100</v>
      </c>
      <c r="H123" s="20">
        <v>215100</v>
      </c>
      <c r="I123" s="3" t="s">
        <v>69</v>
      </c>
    </row>
    <row r="124" spans="2:9" x14ac:dyDescent="0.25">
      <c r="B124" s="1" t="s">
        <v>291</v>
      </c>
      <c r="C124" s="2">
        <v>46150.330995370372</v>
      </c>
      <c r="D124" s="1" t="s">
        <v>364</v>
      </c>
      <c r="E124" s="1" t="s">
        <v>2</v>
      </c>
      <c r="F124" s="1">
        <v>1</v>
      </c>
      <c r="G124" s="1">
        <v>112800</v>
      </c>
      <c r="H124" s="20">
        <v>112800</v>
      </c>
      <c r="I124" s="3" t="s">
        <v>69</v>
      </c>
    </row>
    <row r="125" spans="2:9" x14ac:dyDescent="0.25">
      <c r="B125" s="1" t="s">
        <v>291</v>
      </c>
      <c r="C125" s="2">
        <v>46150.330995370372</v>
      </c>
      <c r="D125" s="1" t="s">
        <v>364</v>
      </c>
      <c r="E125" s="1" t="s">
        <v>4</v>
      </c>
      <c r="F125" s="1">
        <v>1</v>
      </c>
      <c r="G125" s="1">
        <v>215100</v>
      </c>
      <c r="H125" s="20">
        <v>215100</v>
      </c>
      <c r="I125" s="3" t="s">
        <v>69</v>
      </c>
    </row>
    <row r="126" spans="2:9" x14ac:dyDescent="0.25">
      <c r="B126" s="1" t="s">
        <v>291</v>
      </c>
      <c r="C126" s="2">
        <v>46150.320671296293</v>
      </c>
      <c r="D126" s="1" t="s">
        <v>123</v>
      </c>
      <c r="E126" s="1" t="s">
        <v>2</v>
      </c>
      <c r="F126" s="1">
        <v>2</v>
      </c>
      <c r="G126" s="1">
        <v>112800</v>
      </c>
      <c r="H126" s="20">
        <v>225600</v>
      </c>
      <c r="I126" s="3" t="s">
        <v>3</v>
      </c>
    </row>
    <row r="127" spans="2:9" x14ac:dyDescent="0.25">
      <c r="B127" s="1" t="s">
        <v>291</v>
      </c>
      <c r="C127" s="2">
        <v>46150.33221064815</v>
      </c>
      <c r="D127" s="1" t="s">
        <v>365</v>
      </c>
      <c r="E127" s="1" t="s">
        <v>4</v>
      </c>
      <c r="F127" s="1">
        <v>2</v>
      </c>
      <c r="G127" s="1">
        <v>215100</v>
      </c>
      <c r="H127" s="20">
        <v>430200</v>
      </c>
      <c r="I127" s="3" t="s">
        <v>69</v>
      </c>
    </row>
    <row r="128" spans="2:9" x14ac:dyDescent="0.25">
      <c r="B128" s="1" t="s">
        <v>291</v>
      </c>
      <c r="C128" s="2">
        <v>46150.332870370374</v>
      </c>
      <c r="D128" s="1" t="s">
        <v>366</v>
      </c>
      <c r="E128" s="1" t="s">
        <v>4</v>
      </c>
      <c r="F128" s="1">
        <v>2</v>
      </c>
      <c r="G128" s="1">
        <v>215100</v>
      </c>
      <c r="H128" s="20">
        <v>430200</v>
      </c>
      <c r="I128" s="3" t="s">
        <v>69</v>
      </c>
    </row>
    <row r="129" spans="2:9" x14ac:dyDescent="0.25">
      <c r="B129" s="1" t="s">
        <v>291</v>
      </c>
      <c r="C129" s="2">
        <v>46150.333634259259</v>
      </c>
      <c r="D129" s="1" t="s">
        <v>367</v>
      </c>
      <c r="E129" s="1" t="s">
        <v>2</v>
      </c>
      <c r="F129" s="1">
        <v>5</v>
      </c>
      <c r="G129" s="1">
        <v>112800</v>
      </c>
      <c r="H129" s="20">
        <v>564000</v>
      </c>
      <c r="I129" s="3" t="s">
        <v>69</v>
      </c>
    </row>
    <row r="130" spans="2:9" x14ac:dyDescent="0.25">
      <c r="B130" s="1" t="s">
        <v>291</v>
      </c>
      <c r="C130" s="2">
        <v>46150.333634259259</v>
      </c>
      <c r="D130" s="1" t="s">
        <v>367</v>
      </c>
      <c r="E130" s="1" t="s">
        <v>4</v>
      </c>
      <c r="F130" s="1">
        <v>5</v>
      </c>
      <c r="G130" s="1">
        <v>215100</v>
      </c>
      <c r="H130" s="20">
        <v>1075500</v>
      </c>
      <c r="I130" s="3" t="s">
        <v>69</v>
      </c>
    </row>
    <row r="131" spans="2:9" x14ac:dyDescent="0.25">
      <c r="B131" s="1" t="s">
        <v>291</v>
      </c>
      <c r="C131" s="2">
        <v>46150.321562500001</v>
      </c>
      <c r="D131" s="1" t="s">
        <v>368</v>
      </c>
      <c r="E131" s="1" t="s">
        <v>4</v>
      </c>
      <c r="F131" s="1">
        <v>1</v>
      </c>
      <c r="G131" s="1">
        <v>215100</v>
      </c>
      <c r="H131" s="20">
        <v>215100</v>
      </c>
      <c r="I131" s="3" t="s">
        <v>69</v>
      </c>
    </row>
    <row r="132" spans="2:9" x14ac:dyDescent="0.25">
      <c r="B132" s="1" t="s">
        <v>291</v>
      </c>
      <c r="C132" s="2">
        <v>46150.32271990741</v>
      </c>
      <c r="D132" s="1" t="s">
        <v>369</v>
      </c>
      <c r="E132" s="1" t="s">
        <v>2</v>
      </c>
      <c r="F132" s="1">
        <v>5</v>
      </c>
      <c r="G132" s="1">
        <v>112800</v>
      </c>
      <c r="H132" s="20">
        <v>564000</v>
      </c>
      <c r="I132" s="3" t="s">
        <v>3</v>
      </c>
    </row>
    <row r="133" spans="2:9" x14ac:dyDescent="0.25">
      <c r="B133" s="1" t="s">
        <v>291</v>
      </c>
      <c r="C133" s="2">
        <v>46151.604525462964</v>
      </c>
      <c r="D133" s="1" t="s">
        <v>151</v>
      </c>
      <c r="E133" s="1" t="s">
        <v>4</v>
      </c>
      <c r="F133" s="1">
        <v>1</v>
      </c>
      <c r="G133" s="1">
        <v>215100</v>
      </c>
      <c r="H133" s="20">
        <v>215100</v>
      </c>
      <c r="I133" s="3" t="s">
        <v>69</v>
      </c>
    </row>
    <row r="134" spans="2:9" x14ac:dyDescent="0.25">
      <c r="B134" s="1" t="s">
        <v>291</v>
      </c>
      <c r="C134" s="2">
        <v>46151.319039351853</v>
      </c>
      <c r="D134" s="1" t="s">
        <v>370</v>
      </c>
      <c r="E134" s="1" t="s">
        <v>4</v>
      </c>
      <c r="F134" s="1">
        <v>1</v>
      </c>
      <c r="G134" s="1">
        <v>215100</v>
      </c>
      <c r="H134" s="20">
        <v>215100</v>
      </c>
      <c r="I134" s="3" t="s">
        <v>69</v>
      </c>
    </row>
    <row r="135" spans="2:9" x14ac:dyDescent="0.25">
      <c r="B135" s="1" t="s">
        <v>291</v>
      </c>
      <c r="C135" s="2">
        <v>46151.319664351853</v>
      </c>
      <c r="D135" s="1" t="s">
        <v>371</v>
      </c>
      <c r="E135" s="1" t="s">
        <v>4</v>
      </c>
      <c r="F135" s="1">
        <v>2</v>
      </c>
      <c r="G135" s="1">
        <v>215100</v>
      </c>
      <c r="H135" s="20">
        <v>430200</v>
      </c>
      <c r="I135" s="3" t="s">
        <v>69</v>
      </c>
    </row>
    <row r="136" spans="2:9" x14ac:dyDescent="0.25">
      <c r="B136" s="1" t="s">
        <v>291</v>
      </c>
      <c r="C136" s="2">
        <v>46151.320497685185</v>
      </c>
      <c r="D136" s="1" t="s">
        <v>372</v>
      </c>
      <c r="E136" s="1" t="s">
        <v>4</v>
      </c>
      <c r="F136" s="1">
        <v>3</v>
      </c>
      <c r="G136" s="1">
        <v>215100</v>
      </c>
      <c r="H136" s="20">
        <v>645300</v>
      </c>
      <c r="I136" s="3" t="s">
        <v>69</v>
      </c>
    </row>
    <row r="137" spans="2:9" x14ac:dyDescent="0.25">
      <c r="B137" s="1" t="s">
        <v>291</v>
      </c>
      <c r="C137" s="2">
        <v>46151.351597222223</v>
      </c>
      <c r="D137" s="1" t="s">
        <v>373</v>
      </c>
      <c r="E137" s="1" t="s">
        <v>2</v>
      </c>
      <c r="F137" s="1">
        <v>1</v>
      </c>
      <c r="G137" s="1">
        <v>112800</v>
      </c>
      <c r="H137" s="20">
        <v>112800</v>
      </c>
      <c r="I137" s="3" t="s">
        <v>69</v>
      </c>
    </row>
    <row r="138" spans="2:9" x14ac:dyDescent="0.25">
      <c r="B138" s="1" t="s">
        <v>291</v>
      </c>
      <c r="C138" s="2">
        <v>46151.351597222223</v>
      </c>
      <c r="D138" s="1" t="s">
        <v>373</v>
      </c>
      <c r="E138" s="1" t="s">
        <v>4</v>
      </c>
      <c r="F138" s="1">
        <v>1</v>
      </c>
      <c r="G138" s="1">
        <v>215100</v>
      </c>
      <c r="H138" s="20">
        <v>215100</v>
      </c>
      <c r="I138" s="3" t="s">
        <v>69</v>
      </c>
    </row>
    <row r="139" spans="2:9" x14ac:dyDescent="0.25">
      <c r="B139" s="1" t="s">
        <v>291</v>
      </c>
      <c r="C139" s="2">
        <v>46151.352314814816</v>
      </c>
      <c r="D139" s="1" t="s">
        <v>292</v>
      </c>
      <c r="E139" s="1" t="s">
        <v>2</v>
      </c>
      <c r="F139" s="1">
        <v>1</v>
      </c>
      <c r="G139" s="1">
        <v>112800</v>
      </c>
      <c r="H139" s="20">
        <v>112800</v>
      </c>
      <c r="I139" s="3" t="s">
        <v>69</v>
      </c>
    </row>
    <row r="140" spans="2:9" x14ac:dyDescent="0.25">
      <c r="B140" s="1" t="s">
        <v>291</v>
      </c>
      <c r="C140" s="2">
        <v>46151.352314814816</v>
      </c>
      <c r="D140" s="1" t="s">
        <v>292</v>
      </c>
      <c r="E140" s="1" t="s">
        <v>4</v>
      </c>
      <c r="F140" s="1">
        <v>1</v>
      </c>
      <c r="G140" s="1">
        <v>215100</v>
      </c>
      <c r="H140" s="20">
        <v>215100</v>
      </c>
      <c r="I140" s="3" t="s">
        <v>69</v>
      </c>
    </row>
    <row r="141" spans="2:9" x14ac:dyDescent="0.25">
      <c r="B141" s="1" t="s">
        <v>291</v>
      </c>
      <c r="C141" s="2">
        <v>46151.353090277778</v>
      </c>
      <c r="D141" s="1" t="s">
        <v>374</v>
      </c>
      <c r="E141" s="1" t="s">
        <v>2</v>
      </c>
      <c r="F141" s="1">
        <v>1</v>
      </c>
      <c r="G141" s="1">
        <v>112800</v>
      </c>
      <c r="H141" s="20">
        <v>112800</v>
      </c>
      <c r="I141" s="3" t="s">
        <v>69</v>
      </c>
    </row>
    <row r="142" spans="2:9" x14ac:dyDescent="0.25">
      <c r="B142" s="1" t="s">
        <v>291</v>
      </c>
      <c r="C142" s="2">
        <v>46151.353090277778</v>
      </c>
      <c r="D142" s="1" t="s">
        <v>374</v>
      </c>
      <c r="E142" s="1" t="s">
        <v>4</v>
      </c>
      <c r="F142" s="1">
        <v>3</v>
      </c>
      <c r="G142" s="1">
        <v>215100</v>
      </c>
      <c r="H142" s="20">
        <v>645300</v>
      </c>
      <c r="I142" s="3" t="s">
        <v>69</v>
      </c>
    </row>
    <row r="143" spans="2:9" x14ac:dyDescent="0.25">
      <c r="B143" s="1" t="s">
        <v>291</v>
      </c>
      <c r="C143" s="2">
        <v>46151.35361111111</v>
      </c>
      <c r="D143" s="1" t="s">
        <v>375</v>
      </c>
      <c r="E143" s="1" t="s">
        <v>2</v>
      </c>
      <c r="F143" s="1">
        <v>2</v>
      </c>
      <c r="G143" s="1">
        <v>112800</v>
      </c>
      <c r="H143" s="20">
        <v>225600</v>
      </c>
      <c r="I143" s="3" t="s">
        <v>69</v>
      </c>
    </row>
    <row r="144" spans="2:9" x14ac:dyDescent="0.25">
      <c r="B144" s="1" t="s">
        <v>291</v>
      </c>
      <c r="C144" s="2">
        <v>46151.35361111111</v>
      </c>
      <c r="D144" s="1" t="s">
        <v>375</v>
      </c>
      <c r="E144" s="1" t="s">
        <v>4</v>
      </c>
      <c r="F144" s="1">
        <v>4</v>
      </c>
      <c r="G144" s="1">
        <v>215100</v>
      </c>
      <c r="H144" s="20">
        <v>860400</v>
      </c>
      <c r="I144" s="3" t="s">
        <v>69</v>
      </c>
    </row>
    <row r="145" spans="2:9" x14ac:dyDescent="0.25">
      <c r="B145" s="1" t="s">
        <v>291</v>
      </c>
      <c r="C145" s="2">
        <v>46151.354432870372</v>
      </c>
      <c r="D145" s="1" t="s">
        <v>376</v>
      </c>
      <c r="E145" s="1" t="s">
        <v>2</v>
      </c>
      <c r="F145" s="1">
        <v>2</v>
      </c>
      <c r="G145" s="1">
        <v>112800</v>
      </c>
      <c r="H145" s="20">
        <v>225600</v>
      </c>
      <c r="I145" s="3" t="s">
        <v>3</v>
      </c>
    </row>
    <row r="146" spans="2:9" x14ac:dyDescent="0.25">
      <c r="B146" s="1" t="s">
        <v>291</v>
      </c>
      <c r="C146" s="2">
        <v>46151.354432870372</v>
      </c>
      <c r="D146" s="1" t="s">
        <v>376</v>
      </c>
      <c r="E146" s="1" t="s">
        <v>4</v>
      </c>
      <c r="F146" s="1">
        <v>2</v>
      </c>
      <c r="G146" s="1">
        <v>215100</v>
      </c>
      <c r="H146" s="20">
        <v>430200</v>
      </c>
      <c r="I146" s="3" t="s">
        <v>3</v>
      </c>
    </row>
    <row r="147" spans="2:9" x14ac:dyDescent="0.25">
      <c r="B147" s="1" t="s">
        <v>291</v>
      </c>
      <c r="C147" s="2">
        <v>46153.303356481483</v>
      </c>
      <c r="D147" s="1" t="s">
        <v>306</v>
      </c>
      <c r="E147" s="1" t="s">
        <v>4</v>
      </c>
      <c r="F147" s="1">
        <v>5</v>
      </c>
      <c r="G147" s="1">
        <v>215100</v>
      </c>
      <c r="H147" s="20">
        <v>1075500</v>
      </c>
      <c r="I147" s="3" t="s">
        <v>69</v>
      </c>
    </row>
    <row r="148" spans="2:9" x14ac:dyDescent="0.25">
      <c r="B148" s="1" t="s">
        <v>291</v>
      </c>
      <c r="C148" s="2">
        <v>46153.303981481484</v>
      </c>
      <c r="D148" s="1" t="s">
        <v>377</v>
      </c>
      <c r="E148" s="1" t="s">
        <v>4</v>
      </c>
      <c r="F148" s="1">
        <v>6</v>
      </c>
      <c r="G148" s="1">
        <v>215100</v>
      </c>
      <c r="H148" s="20">
        <v>1290600</v>
      </c>
      <c r="I148" s="3" t="s">
        <v>3</v>
      </c>
    </row>
    <row r="149" spans="2:9" x14ac:dyDescent="0.25">
      <c r="B149" s="1" t="s">
        <v>291</v>
      </c>
      <c r="C149" s="2">
        <v>46153.306493055556</v>
      </c>
      <c r="D149" s="1" t="s">
        <v>288</v>
      </c>
      <c r="E149" s="1" t="s">
        <v>4</v>
      </c>
      <c r="F149" s="1">
        <v>1</v>
      </c>
      <c r="G149" s="1">
        <v>215100</v>
      </c>
      <c r="H149" s="20">
        <v>215100</v>
      </c>
      <c r="I149" s="3" t="s">
        <v>3</v>
      </c>
    </row>
    <row r="150" spans="2:9" x14ac:dyDescent="0.25">
      <c r="B150" s="1" t="s">
        <v>291</v>
      </c>
      <c r="C150" s="2">
        <v>46153.306956018518</v>
      </c>
      <c r="D150" s="1" t="s">
        <v>378</v>
      </c>
      <c r="E150" s="1" t="s">
        <v>4</v>
      </c>
      <c r="F150" s="1">
        <v>5</v>
      </c>
      <c r="G150" s="1">
        <v>215100</v>
      </c>
      <c r="H150" s="20">
        <v>1075500</v>
      </c>
      <c r="I150" s="3" t="s">
        <v>69</v>
      </c>
    </row>
    <row r="151" spans="2:9" x14ac:dyDescent="0.25">
      <c r="B151" s="1" t="s">
        <v>291</v>
      </c>
      <c r="C151" s="2">
        <v>46153.307523148149</v>
      </c>
      <c r="D151" s="1" t="s">
        <v>379</v>
      </c>
      <c r="E151" s="1" t="s">
        <v>4</v>
      </c>
      <c r="F151" s="1">
        <v>6</v>
      </c>
      <c r="G151" s="1">
        <v>215100</v>
      </c>
      <c r="H151" s="20">
        <v>1290600</v>
      </c>
      <c r="I151" s="3" t="s">
        <v>69</v>
      </c>
    </row>
    <row r="152" spans="2:9" x14ac:dyDescent="0.25">
      <c r="B152" s="1" t="s">
        <v>291</v>
      </c>
      <c r="C152" s="2">
        <v>46153.307939814818</v>
      </c>
      <c r="D152" s="1" t="s">
        <v>380</v>
      </c>
      <c r="E152" s="1" t="s">
        <v>4</v>
      </c>
      <c r="F152" s="1">
        <v>1</v>
      </c>
      <c r="G152" s="1">
        <v>215100</v>
      </c>
      <c r="H152" s="20">
        <v>215100</v>
      </c>
      <c r="I152" s="3" t="s">
        <v>69</v>
      </c>
    </row>
    <row r="153" spans="2:9" x14ac:dyDescent="0.25">
      <c r="B153" s="1" t="s">
        <v>291</v>
      </c>
      <c r="C153" s="2">
        <v>46153.308483796296</v>
      </c>
      <c r="D153" s="1" t="s">
        <v>381</v>
      </c>
      <c r="E153" s="1" t="s">
        <v>4</v>
      </c>
      <c r="F153" s="1">
        <v>1</v>
      </c>
      <c r="G153" s="1">
        <v>215100</v>
      </c>
      <c r="H153" s="20">
        <v>215100</v>
      </c>
      <c r="I153" s="3" t="s">
        <v>69</v>
      </c>
    </row>
    <row r="154" spans="2:9" x14ac:dyDescent="0.25">
      <c r="B154" s="1" t="s">
        <v>291</v>
      </c>
      <c r="C154" s="2">
        <v>46153.309374999997</v>
      </c>
      <c r="D154" s="1" t="s">
        <v>328</v>
      </c>
      <c r="E154" s="1" t="s">
        <v>4</v>
      </c>
      <c r="F154" s="1">
        <v>1</v>
      </c>
      <c r="G154" s="1">
        <v>215100</v>
      </c>
      <c r="H154" s="20">
        <v>215100</v>
      </c>
      <c r="I154" s="3" t="s">
        <v>69</v>
      </c>
    </row>
    <row r="155" spans="2:9" x14ac:dyDescent="0.25">
      <c r="B155" s="1" t="s">
        <v>291</v>
      </c>
      <c r="C155" s="2">
        <v>46153.327337962961</v>
      </c>
      <c r="D155" s="1" t="s">
        <v>382</v>
      </c>
      <c r="E155" s="1" t="s">
        <v>4</v>
      </c>
      <c r="F155" s="1">
        <v>1</v>
      </c>
      <c r="G155" s="1">
        <v>215100</v>
      </c>
      <c r="H155" s="20">
        <v>215100</v>
      </c>
      <c r="I155" s="3" t="s">
        <v>3</v>
      </c>
    </row>
    <row r="156" spans="2:9" x14ac:dyDescent="0.25">
      <c r="B156" s="1" t="s">
        <v>291</v>
      </c>
      <c r="C156" s="2">
        <v>46153.329699074071</v>
      </c>
      <c r="D156" s="1" t="s">
        <v>383</v>
      </c>
      <c r="E156" s="1" t="s">
        <v>4</v>
      </c>
      <c r="F156" s="1">
        <v>1</v>
      </c>
      <c r="G156" s="1">
        <v>215100</v>
      </c>
      <c r="H156" s="20">
        <v>215100</v>
      </c>
      <c r="I156" s="3" t="s">
        <v>69</v>
      </c>
    </row>
    <row r="157" spans="2:9" x14ac:dyDescent="0.25">
      <c r="B157" s="1" t="s">
        <v>291</v>
      </c>
      <c r="C157" s="2">
        <v>46153.319305555553</v>
      </c>
      <c r="D157" s="1" t="s">
        <v>384</v>
      </c>
      <c r="E157" s="1" t="s">
        <v>4</v>
      </c>
      <c r="F157" s="1">
        <v>1</v>
      </c>
      <c r="G157" s="1">
        <v>215100</v>
      </c>
      <c r="H157" s="20">
        <v>215100</v>
      </c>
      <c r="I157" s="3" t="s">
        <v>69</v>
      </c>
    </row>
    <row r="158" spans="2:9" x14ac:dyDescent="0.25">
      <c r="B158" s="1" t="s">
        <v>291</v>
      </c>
      <c r="C158" s="2">
        <v>46154.321504629632</v>
      </c>
      <c r="D158" s="1" t="s">
        <v>210</v>
      </c>
      <c r="E158" s="1" t="s">
        <v>2</v>
      </c>
      <c r="F158" s="1">
        <v>2</v>
      </c>
      <c r="G158" s="1">
        <v>112800</v>
      </c>
      <c r="H158" s="20">
        <v>225600</v>
      </c>
      <c r="I158" s="3" t="s">
        <v>69</v>
      </c>
    </row>
    <row r="159" spans="2:9" x14ac:dyDescent="0.25">
      <c r="B159" s="1" t="s">
        <v>291</v>
      </c>
      <c r="C159" s="2">
        <v>46154.321504629632</v>
      </c>
      <c r="D159" s="1" t="s">
        <v>210</v>
      </c>
      <c r="E159" s="1" t="s">
        <v>4</v>
      </c>
      <c r="F159" s="1">
        <v>3</v>
      </c>
      <c r="G159" s="1">
        <v>215100</v>
      </c>
      <c r="H159" s="20">
        <v>645300</v>
      </c>
      <c r="I159" s="3" t="s">
        <v>69</v>
      </c>
    </row>
    <row r="160" spans="2:9" x14ac:dyDescent="0.25">
      <c r="B160" s="1" t="s">
        <v>291</v>
      </c>
      <c r="C160" s="2">
        <v>46154.322476851848</v>
      </c>
      <c r="D160" s="1" t="s">
        <v>320</v>
      </c>
      <c r="E160" s="1" t="s">
        <v>4</v>
      </c>
      <c r="F160" s="1">
        <v>5</v>
      </c>
      <c r="G160" s="1">
        <v>215100</v>
      </c>
      <c r="H160" s="20">
        <v>1075500</v>
      </c>
      <c r="I160" s="3" t="s">
        <v>69</v>
      </c>
    </row>
    <row r="161" spans="2:9" x14ac:dyDescent="0.25">
      <c r="B161" s="1" t="s">
        <v>291</v>
      </c>
      <c r="C161" s="2">
        <v>46154.323229166665</v>
      </c>
      <c r="D161" s="1" t="s">
        <v>385</v>
      </c>
      <c r="E161" s="1" t="s">
        <v>2</v>
      </c>
      <c r="F161" s="1">
        <v>2</v>
      </c>
      <c r="G161" s="1">
        <v>112800</v>
      </c>
      <c r="H161" s="20">
        <v>225600</v>
      </c>
      <c r="I161" s="3" t="s">
        <v>69</v>
      </c>
    </row>
    <row r="162" spans="2:9" x14ac:dyDescent="0.25">
      <c r="B162" s="1" t="s">
        <v>291</v>
      </c>
      <c r="C162" s="2">
        <v>46154.323888888888</v>
      </c>
      <c r="D162" s="1" t="s">
        <v>386</v>
      </c>
      <c r="E162" s="1" t="s">
        <v>2</v>
      </c>
      <c r="F162" s="1">
        <v>2</v>
      </c>
      <c r="G162" s="1">
        <v>112800</v>
      </c>
      <c r="H162" s="20">
        <v>225600</v>
      </c>
      <c r="I162" s="3" t="s">
        <v>69</v>
      </c>
    </row>
    <row r="163" spans="2:9" x14ac:dyDescent="0.25">
      <c r="B163" s="1" t="s">
        <v>291</v>
      </c>
      <c r="C163" s="2">
        <v>46154.323888888888</v>
      </c>
      <c r="D163" s="1" t="s">
        <v>386</v>
      </c>
      <c r="E163" s="1" t="s">
        <v>4</v>
      </c>
      <c r="F163" s="1">
        <v>5</v>
      </c>
      <c r="G163" s="1">
        <v>215100</v>
      </c>
      <c r="H163" s="20">
        <v>1075500</v>
      </c>
      <c r="I163" s="3" t="s">
        <v>69</v>
      </c>
    </row>
    <row r="164" spans="2:9" x14ac:dyDescent="0.25">
      <c r="B164" s="1" t="s">
        <v>291</v>
      </c>
      <c r="C164" s="2">
        <v>46154.326215277775</v>
      </c>
      <c r="D164" s="1" t="s">
        <v>387</v>
      </c>
      <c r="E164" s="1" t="s">
        <v>4</v>
      </c>
      <c r="F164" s="1">
        <v>1</v>
      </c>
      <c r="G164" s="1">
        <v>215100</v>
      </c>
      <c r="H164" s="20">
        <v>215100</v>
      </c>
      <c r="I164" s="3" t="s">
        <v>3</v>
      </c>
    </row>
    <row r="165" spans="2:9" x14ac:dyDescent="0.25">
      <c r="B165" s="1" t="s">
        <v>291</v>
      </c>
      <c r="C165" s="2">
        <v>46154.327025462961</v>
      </c>
      <c r="D165" s="1" t="s">
        <v>388</v>
      </c>
      <c r="E165" s="1" t="s">
        <v>4</v>
      </c>
      <c r="F165" s="1">
        <v>4</v>
      </c>
      <c r="G165" s="1">
        <v>215100</v>
      </c>
      <c r="H165" s="20">
        <v>860400</v>
      </c>
      <c r="I165" s="3" t="s">
        <v>69</v>
      </c>
    </row>
    <row r="166" spans="2:9" x14ac:dyDescent="0.25">
      <c r="B166" s="1" t="s">
        <v>291</v>
      </c>
      <c r="C166" s="2">
        <v>46154.327025462961</v>
      </c>
      <c r="D166" s="1" t="s">
        <v>388</v>
      </c>
      <c r="E166" s="1" t="s">
        <v>2</v>
      </c>
      <c r="F166" s="1">
        <v>3</v>
      </c>
      <c r="G166" s="1">
        <v>112800</v>
      </c>
      <c r="H166" s="20">
        <v>338400</v>
      </c>
      <c r="I166" s="3" t="s">
        <v>69</v>
      </c>
    </row>
    <row r="167" spans="2:9" x14ac:dyDescent="0.25">
      <c r="B167" s="1" t="s">
        <v>291</v>
      </c>
      <c r="C167" s="2">
        <v>46154.329317129632</v>
      </c>
      <c r="D167" s="1" t="s">
        <v>389</v>
      </c>
      <c r="E167" s="1" t="s">
        <v>2</v>
      </c>
      <c r="F167" s="1">
        <v>3</v>
      </c>
      <c r="G167" s="1">
        <v>112800</v>
      </c>
      <c r="H167" s="20">
        <v>338400</v>
      </c>
      <c r="I167" s="3" t="s">
        <v>3</v>
      </c>
    </row>
    <row r="168" spans="2:9" x14ac:dyDescent="0.25">
      <c r="B168" s="1" t="s">
        <v>291</v>
      </c>
      <c r="C168" s="2">
        <v>46154.329317129632</v>
      </c>
      <c r="D168" s="1" t="s">
        <v>389</v>
      </c>
      <c r="E168" s="1" t="s">
        <v>4</v>
      </c>
      <c r="F168" s="1">
        <v>3</v>
      </c>
      <c r="G168" s="1">
        <v>215100</v>
      </c>
      <c r="H168" s="20">
        <v>645300</v>
      </c>
      <c r="I168" s="3" t="s">
        <v>3</v>
      </c>
    </row>
    <row r="169" spans="2:9" x14ac:dyDescent="0.25">
      <c r="B169" s="1" t="s">
        <v>291</v>
      </c>
      <c r="C169" s="2">
        <v>46155.322256944448</v>
      </c>
      <c r="D169" s="1" t="s">
        <v>33</v>
      </c>
      <c r="E169" s="1" t="s">
        <v>4</v>
      </c>
      <c r="F169" s="1">
        <v>2</v>
      </c>
      <c r="G169" s="1">
        <v>215100</v>
      </c>
      <c r="H169" s="20">
        <v>430200</v>
      </c>
      <c r="I169" s="3" t="s">
        <v>69</v>
      </c>
    </row>
    <row r="170" spans="2:9" x14ac:dyDescent="0.25">
      <c r="B170" s="1" t="s">
        <v>291</v>
      </c>
      <c r="C170" s="2">
        <v>46155.323831018519</v>
      </c>
      <c r="D170" s="1" t="s">
        <v>385</v>
      </c>
      <c r="E170" s="1" t="s">
        <v>2</v>
      </c>
      <c r="F170" s="1">
        <v>10</v>
      </c>
      <c r="G170" s="1">
        <v>113600</v>
      </c>
      <c r="H170" s="20">
        <v>1136000</v>
      </c>
      <c r="I170" s="3" t="s">
        <v>3</v>
      </c>
    </row>
    <row r="171" spans="2:9" x14ac:dyDescent="0.25">
      <c r="B171" s="1" t="s">
        <v>291</v>
      </c>
      <c r="C171" s="2">
        <v>46155.324675925927</v>
      </c>
      <c r="D171" s="1" t="s">
        <v>390</v>
      </c>
      <c r="E171" s="1" t="s">
        <v>2</v>
      </c>
      <c r="F171" s="1">
        <v>2</v>
      </c>
      <c r="G171" s="1">
        <v>113600</v>
      </c>
      <c r="H171" s="20">
        <v>227200</v>
      </c>
      <c r="I171" s="3" t="s">
        <v>69</v>
      </c>
    </row>
    <row r="172" spans="2:9" x14ac:dyDescent="0.25">
      <c r="B172" s="1" t="s">
        <v>291</v>
      </c>
      <c r="C172" s="2">
        <v>46155.325324074074</v>
      </c>
      <c r="D172" s="1" t="s">
        <v>391</v>
      </c>
      <c r="E172" s="1" t="s">
        <v>4</v>
      </c>
      <c r="F172" s="1">
        <v>1</v>
      </c>
      <c r="G172" s="1">
        <v>215100</v>
      </c>
      <c r="H172" s="20">
        <v>215100</v>
      </c>
      <c r="I172" s="3" t="s">
        <v>69</v>
      </c>
    </row>
    <row r="173" spans="2:9" x14ac:dyDescent="0.25">
      <c r="B173" s="1" t="s">
        <v>291</v>
      </c>
      <c r="C173" s="2">
        <v>46155.325983796298</v>
      </c>
      <c r="D173" s="1" t="s">
        <v>392</v>
      </c>
      <c r="E173" s="1" t="s">
        <v>2</v>
      </c>
      <c r="F173" s="1">
        <v>1</v>
      </c>
      <c r="G173" s="1">
        <v>113600</v>
      </c>
      <c r="H173" s="20">
        <v>113600</v>
      </c>
      <c r="I173" s="3" t="s">
        <v>3</v>
      </c>
    </row>
    <row r="174" spans="2:9" x14ac:dyDescent="0.25">
      <c r="B174" s="1" t="s">
        <v>291</v>
      </c>
      <c r="C174" s="2">
        <v>46155.325983796298</v>
      </c>
      <c r="D174" s="1" t="s">
        <v>392</v>
      </c>
      <c r="E174" s="1" t="s">
        <v>4</v>
      </c>
      <c r="F174" s="1">
        <v>1</v>
      </c>
      <c r="G174" s="1">
        <v>215100</v>
      </c>
      <c r="H174" s="20">
        <v>215100</v>
      </c>
      <c r="I174" s="3" t="s">
        <v>3</v>
      </c>
    </row>
    <row r="175" spans="2:9" x14ac:dyDescent="0.25">
      <c r="B175" s="1" t="s">
        <v>291</v>
      </c>
      <c r="C175" s="2">
        <v>46155.326539351852</v>
      </c>
      <c r="D175" s="1" t="s">
        <v>393</v>
      </c>
      <c r="E175" s="1" t="s">
        <v>2</v>
      </c>
      <c r="F175" s="1">
        <v>2</v>
      </c>
      <c r="G175" s="1">
        <v>113600</v>
      </c>
      <c r="H175" s="20">
        <v>227200</v>
      </c>
      <c r="I175" s="3" t="s">
        <v>69</v>
      </c>
    </row>
    <row r="176" spans="2:9" x14ac:dyDescent="0.25">
      <c r="B176" s="1" t="s">
        <v>291</v>
      </c>
      <c r="C176" s="2">
        <v>46155.326539351852</v>
      </c>
      <c r="D176" s="1" t="s">
        <v>393</v>
      </c>
      <c r="E176" s="1" t="s">
        <v>4</v>
      </c>
      <c r="F176" s="1">
        <v>4</v>
      </c>
      <c r="G176" s="1">
        <v>215100</v>
      </c>
      <c r="H176" s="20">
        <v>860400</v>
      </c>
      <c r="I176" s="3" t="s">
        <v>69</v>
      </c>
    </row>
    <row r="177" spans="2:9" x14ac:dyDescent="0.25">
      <c r="B177" s="1" t="s">
        <v>291</v>
      </c>
      <c r="C177" s="2">
        <v>46155.327175925922</v>
      </c>
      <c r="D177" s="1" t="s">
        <v>42</v>
      </c>
      <c r="E177" s="1" t="s">
        <v>2</v>
      </c>
      <c r="F177" s="1">
        <v>2</v>
      </c>
      <c r="G177" s="1">
        <v>113600</v>
      </c>
      <c r="H177" s="20">
        <v>227200</v>
      </c>
      <c r="I177" s="3" t="s">
        <v>3</v>
      </c>
    </row>
    <row r="178" spans="2:9" x14ac:dyDescent="0.25">
      <c r="B178" s="1" t="s">
        <v>291</v>
      </c>
      <c r="C178" s="2">
        <v>46155.327175925922</v>
      </c>
      <c r="D178" s="1" t="s">
        <v>42</v>
      </c>
      <c r="E178" s="1" t="s">
        <v>4</v>
      </c>
      <c r="F178" s="1">
        <v>1</v>
      </c>
      <c r="G178" s="1">
        <v>215100</v>
      </c>
      <c r="H178" s="20">
        <v>215100</v>
      </c>
      <c r="I178" s="3" t="s">
        <v>3</v>
      </c>
    </row>
    <row r="179" spans="2:9" x14ac:dyDescent="0.25">
      <c r="B179" s="1" t="s">
        <v>291</v>
      </c>
      <c r="C179" s="2">
        <v>46155.356041666666</v>
      </c>
      <c r="D179" s="1" t="s">
        <v>394</v>
      </c>
      <c r="E179" s="1" t="s">
        <v>4</v>
      </c>
      <c r="F179" s="1">
        <v>2</v>
      </c>
      <c r="G179" s="1">
        <v>215100</v>
      </c>
      <c r="H179" s="20">
        <v>430200</v>
      </c>
      <c r="I179" s="3" t="s">
        <v>69</v>
      </c>
    </row>
    <row r="180" spans="2:9" x14ac:dyDescent="0.25">
      <c r="B180" s="1" t="s">
        <v>291</v>
      </c>
      <c r="C180" s="2">
        <v>46156.323298611111</v>
      </c>
      <c r="D180" s="1" t="s">
        <v>395</v>
      </c>
      <c r="E180" s="1" t="s">
        <v>4</v>
      </c>
      <c r="F180" s="1">
        <v>10</v>
      </c>
      <c r="G180" s="1">
        <v>215100</v>
      </c>
      <c r="H180" s="20">
        <v>2151000</v>
      </c>
      <c r="I180" s="3" t="s">
        <v>69</v>
      </c>
    </row>
    <row r="181" spans="2:9" x14ac:dyDescent="0.25">
      <c r="B181" s="1" t="s">
        <v>291</v>
      </c>
      <c r="C181" s="2">
        <v>46156.324386574073</v>
      </c>
      <c r="D181" s="1" t="s">
        <v>396</v>
      </c>
      <c r="E181" s="1" t="s">
        <v>2</v>
      </c>
      <c r="F181" s="1">
        <v>4</v>
      </c>
      <c r="G181" s="1">
        <v>113600</v>
      </c>
      <c r="H181" s="20">
        <v>454400</v>
      </c>
      <c r="I181" s="3" t="s">
        <v>3</v>
      </c>
    </row>
    <row r="182" spans="2:9" x14ac:dyDescent="0.25">
      <c r="B182" s="1" t="s">
        <v>291</v>
      </c>
      <c r="C182" s="2">
        <v>46156.324386574073</v>
      </c>
      <c r="D182" s="1" t="s">
        <v>396</v>
      </c>
      <c r="E182" s="1" t="s">
        <v>4</v>
      </c>
      <c r="F182" s="1">
        <v>1</v>
      </c>
      <c r="G182" s="1">
        <v>215100</v>
      </c>
      <c r="H182" s="20">
        <v>215100</v>
      </c>
      <c r="I182" s="3" t="s">
        <v>3</v>
      </c>
    </row>
    <row r="183" spans="2:9" x14ac:dyDescent="0.25">
      <c r="B183" s="1" t="s">
        <v>291</v>
      </c>
      <c r="C183" s="2">
        <v>46156.32508101852</v>
      </c>
      <c r="D183" s="1" t="s">
        <v>397</v>
      </c>
      <c r="E183" s="1" t="s">
        <v>4</v>
      </c>
      <c r="F183" s="1">
        <v>1</v>
      </c>
      <c r="G183" s="1">
        <v>215100</v>
      </c>
      <c r="H183" s="20">
        <v>215100</v>
      </c>
      <c r="I183" s="3" t="s">
        <v>69</v>
      </c>
    </row>
    <row r="184" spans="2:9" x14ac:dyDescent="0.25">
      <c r="B184" s="1" t="s">
        <v>291</v>
      </c>
      <c r="C184" s="2">
        <v>46156.325729166667</v>
      </c>
      <c r="D184" s="1" t="s">
        <v>201</v>
      </c>
      <c r="E184" s="1" t="s">
        <v>4</v>
      </c>
      <c r="F184" s="1">
        <v>3</v>
      </c>
      <c r="G184" s="1">
        <v>215100</v>
      </c>
      <c r="H184" s="20">
        <v>645300</v>
      </c>
      <c r="I184" s="3" t="s">
        <v>69</v>
      </c>
    </row>
    <row r="185" spans="2:9" x14ac:dyDescent="0.25">
      <c r="B185" s="1" t="s">
        <v>291</v>
      </c>
      <c r="C185" s="2">
        <v>46156.326562499999</v>
      </c>
      <c r="D185" s="1" t="s">
        <v>398</v>
      </c>
      <c r="E185" s="1" t="s">
        <v>2</v>
      </c>
      <c r="F185" s="1">
        <v>2</v>
      </c>
      <c r="G185" s="1">
        <v>113600</v>
      </c>
      <c r="H185" s="20">
        <v>227200</v>
      </c>
      <c r="I185" s="3" t="s">
        <v>69</v>
      </c>
    </row>
    <row r="186" spans="2:9" x14ac:dyDescent="0.25">
      <c r="B186" s="1" t="s">
        <v>291</v>
      </c>
      <c r="C186" s="2">
        <v>46156.326562499999</v>
      </c>
      <c r="D186" s="1" t="s">
        <v>398</v>
      </c>
      <c r="E186" s="1" t="s">
        <v>4</v>
      </c>
      <c r="F186" s="1">
        <v>3</v>
      </c>
      <c r="G186" s="1">
        <v>215100</v>
      </c>
      <c r="H186" s="20">
        <v>645300</v>
      </c>
      <c r="I186" s="3" t="s">
        <v>69</v>
      </c>
    </row>
    <row r="187" spans="2:9" x14ac:dyDescent="0.25">
      <c r="B187" s="1" t="s">
        <v>291</v>
      </c>
      <c r="C187" s="2">
        <v>46156.327291666668</v>
      </c>
      <c r="D187" s="1" t="s">
        <v>399</v>
      </c>
      <c r="E187" s="1" t="s">
        <v>4</v>
      </c>
      <c r="F187" s="1">
        <v>2</v>
      </c>
      <c r="G187" s="1">
        <v>215100</v>
      </c>
      <c r="H187" s="20">
        <v>430200</v>
      </c>
      <c r="I187" s="3" t="s">
        <v>69</v>
      </c>
    </row>
    <row r="188" spans="2:9" x14ac:dyDescent="0.25">
      <c r="B188" s="1" t="s">
        <v>291</v>
      </c>
      <c r="C188" s="2">
        <v>46156.329629629632</v>
      </c>
      <c r="D188" s="1" t="s">
        <v>400</v>
      </c>
      <c r="E188" s="1" t="s">
        <v>4</v>
      </c>
      <c r="F188" s="1">
        <v>5</v>
      </c>
      <c r="G188" s="1">
        <v>215100</v>
      </c>
      <c r="H188" s="20">
        <v>1075500</v>
      </c>
      <c r="I188" s="3" t="s">
        <v>3</v>
      </c>
    </row>
    <row r="189" spans="2:9" x14ac:dyDescent="0.25">
      <c r="B189" s="1" t="s">
        <v>291</v>
      </c>
      <c r="C189" s="2">
        <v>46156.350289351853</v>
      </c>
      <c r="D189" s="1" t="s">
        <v>401</v>
      </c>
      <c r="E189" s="1" t="s">
        <v>4</v>
      </c>
      <c r="F189" s="1">
        <v>5</v>
      </c>
      <c r="G189" s="1">
        <v>215100</v>
      </c>
      <c r="H189" s="20">
        <v>1075500</v>
      </c>
      <c r="I189" s="3" t="s">
        <v>3</v>
      </c>
    </row>
    <row r="190" spans="2:9" x14ac:dyDescent="0.25">
      <c r="B190" s="1" t="s">
        <v>291</v>
      </c>
      <c r="C190" s="2">
        <v>46156.350995370369</v>
      </c>
      <c r="D190" s="1" t="s">
        <v>402</v>
      </c>
      <c r="E190" s="1" t="s">
        <v>4</v>
      </c>
      <c r="F190" s="1">
        <v>1</v>
      </c>
      <c r="G190" s="1">
        <v>215100</v>
      </c>
      <c r="H190" s="20">
        <v>215100</v>
      </c>
      <c r="I190" s="3" t="s">
        <v>69</v>
      </c>
    </row>
    <row r="191" spans="2:9" x14ac:dyDescent="0.25">
      <c r="B191" s="1" t="s">
        <v>291</v>
      </c>
      <c r="C191" s="2">
        <v>46157.314699074072</v>
      </c>
      <c r="D191" s="1" t="s">
        <v>293</v>
      </c>
      <c r="E191" s="1" t="s">
        <v>4</v>
      </c>
      <c r="F191" s="1">
        <v>1</v>
      </c>
      <c r="G191" s="1">
        <v>215100</v>
      </c>
      <c r="H191" s="20">
        <v>215100</v>
      </c>
      <c r="I191" s="3" t="s">
        <v>69</v>
      </c>
    </row>
    <row r="192" spans="2:9" x14ac:dyDescent="0.25">
      <c r="B192" s="1" t="s">
        <v>291</v>
      </c>
      <c r="C192" s="2">
        <v>46157.315439814818</v>
      </c>
      <c r="D192" s="1" t="s">
        <v>373</v>
      </c>
      <c r="E192" s="1" t="s">
        <v>2</v>
      </c>
      <c r="F192" s="1">
        <v>2</v>
      </c>
      <c r="G192" s="1">
        <v>113600</v>
      </c>
      <c r="H192" s="20">
        <v>227200</v>
      </c>
      <c r="I192" s="3" t="s">
        <v>69</v>
      </c>
    </row>
    <row r="193" spans="2:9" x14ac:dyDescent="0.25">
      <c r="B193" s="1" t="s">
        <v>291</v>
      </c>
      <c r="C193" s="2">
        <v>46157.315439814818</v>
      </c>
      <c r="D193" s="1" t="s">
        <v>373</v>
      </c>
      <c r="E193" s="1" t="s">
        <v>4</v>
      </c>
      <c r="F193" s="1">
        <v>2</v>
      </c>
      <c r="G193" s="1">
        <v>215100</v>
      </c>
      <c r="H193" s="20">
        <v>430200</v>
      </c>
      <c r="I193" s="3" t="s">
        <v>69</v>
      </c>
    </row>
    <row r="194" spans="2:9" x14ac:dyDescent="0.25">
      <c r="B194" s="1" t="s">
        <v>291</v>
      </c>
      <c r="C194" s="2">
        <v>46157.31627314815</v>
      </c>
      <c r="D194" s="1" t="s">
        <v>314</v>
      </c>
      <c r="E194" s="1" t="s">
        <v>2</v>
      </c>
      <c r="F194" s="1">
        <v>2</v>
      </c>
      <c r="G194" s="1">
        <v>113600</v>
      </c>
      <c r="H194" s="20">
        <v>227200</v>
      </c>
      <c r="I194" s="3" t="s">
        <v>69</v>
      </c>
    </row>
    <row r="195" spans="2:9" x14ac:dyDescent="0.25">
      <c r="B195" s="1" t="s">
        <v>291</v>
      </c>
      <c r="C195" s="2">
        <v>46157.317060185182</v>
      </c>
      <c r="D195" s="1" t="s">
        <v>403</v>
      </c>
      <c r="E195" s="1" t="s">
        <v>4</v>
      </c>
      <c r="F195" s="1">
        <v>1</v>
      </c>
      <c r="G195" s="1">
        <v>215100</v>
      </c>
      <c r="H195" s="20">
        <v>215100</v>
      </c>
      <c r="I195" s="3" t="s">
        <v>69</v>
      </c>
    </row>
    <row r="196" spans="2:9" x14ac:dyDescent="0.25">
      <c r="B196" s="1" t="s">
        <v>291</v>
      </c>
      <c r="C196" s="2">
        <v>46157.317881944444</v>
      </c>
      <c r="D196" s="1" t="s">
        <v>297</v>
      </c>
      <c r="E196" s="1" t="s">
        <v>2</v>
      </c>
      <c r="F196" s="1">
        <v>2</v>
      </c>
      <c r="G196" s="1">
        <v>113600</v>
      </c>
      <c r="H196" s="20">
        <v>227200</v>
      </c>
      <c r="I196" s="3" t="s">
        <v>3</v>
      </c>
    </row>
    <row r="197" spans="2:9" x14ac:dyDescent="0.25">
      <c r="B197" s="1" t="s">
        <v>291</v>
      </c>
      <c r="C197" s="2">
        <v>46157.317881944444</v>
      </c>
      <c r="D197" s="1" t="s">
        <v>297</v>
      </c>
      <c r="E197" s="1" t="s">
        <v>4</v>
      </c>
      <c r="F197" s="1">
        <v>3</v>
      </c>
      <c r="G197" s="1">
        <v>215100</v>
      </c>
      <c r="H197" s="20">
        <v>645300</v>
      </c>
      <c r="I197" s="3" t="s">
        <v>3</v>
      </c>
    </row>
    <row r="198" spans="2:9" x14ac:dyDescent="0.25">
      <c r="B198" s="1" t="s">
        <v>291</v>
      </c>
      <c r="C198" s="2">
        <v>46158.294270833336</v>
      </c>
      <c r="D198" s="1" t="s">
        <v>301</v>
      </c>
      <c r="E198" s="1" t="s">
        <v>4</v>
      </c>
      <c r="F198" s="1">
        <v>2</v>
      </c>
      <c r="G198" s="1">
        <v>215100</v>
      </c>
      <c r="H198" s="20">
        <v>430200</v>
      </c>
      <c r="I198" s="3" t="s">
        <v>69</v>
      </c>
    </row>
    <row r="199" spans="2:9" x14ac:dyDescent="0.25">
      <c r="B199" s="1" t="s">
        <v>291</v>
      </c>
      <c r="C199" s="2">
        <v>46158.327233796299</v>
      </c>
      <c r="D199" s="1" t="s">
        <v>302</v>
      </c>
      <c r="E199" s="1" t="s">
        <v>4</v>
      </c>
      <c r="F199" s="1">
        <v>1</v>
      </c>
      <c r="G199" s="1">
        <v>215100</v>
      </c>
      <c r="H199" s="20">
        <v>215100</v>
      </c>
      <c r="I199" s="3" t="s">
        <v>69</v>
      </c>
    </row>
    <row r="200" spans="2:9" x14ac:dyDescent="0.25">
      <c r="B200" s="1" t="s">
        <v>291</v>
      </c>
      <c r="C200" s="2">
        <v>46158.327233796299</v>
      </c>
      <c r="D200" s="1" t="s">
        <v>302</v>
      </c>
      <c r="E200" s="1" t="s">
        <v>2</v>
      </c>
      <c r="F200" s="1">
        <v>1</v>
      </c>
      <c r="G200" s="1">
        <v>113600</v>
      </c>
      <c r="H200" s="20">
        <v>113600</v>
      </c>
      <c r="I200" s="3" t="s">
        <v>69</v>
      </c>
    </row>
    <row r="201" spans="2:9" x14ac:dyDescent="0.25">
      <c r="B201" s="1" t="s">
        <v>291</v>
      </c>
      <c r="C201" s="2">
        <v>46158.324918981481</v>
      </c>
      <c r="D201" s="1" t="s">
        <v>303</v>
      </c>
      <c r="E201" s="1" t="s">
        <v>2</v>
      </c>
      <c r="F201" s="1">
        <v>1</v>
      </c>
      <c r="G201" s="1">
        <v>113600</v>
      </c>
      <c r="H201" s="20">
        <v>113600</v>
      </c>
      <c r="I201" s="3" t="s">
        <v>69</v>
      </c>
    </row>
    <row r="202" spans="2:9" x14ac:dyDescent="0.25">
      <c r="B202" s="1" t="s">
        <v>291</v>
      </c>
      <c r="C202" s="2">
        <v>46158.322523148148</v>
      </c>
      <c r="D202" s="1" t="s">
        <v>404</v>
      </c>
      <c r="E202" s="1" t="s">
        <v>2</v>
      </c>
      <c r="F202" s="1">
        <v>3</v>
      </c>
      <c r="G202" s="1">
        <v>113600</v>
      </c>
      <c r="H202" s="20">
        <v>340800</v>
      </c>
      <c r="I202" s="3" t="s">
        <v>3</v>
      </c>
    </row>
    <row r="203" spans="2:9" x14ac:dyDescent="0.25">
      <c r="B203" s="1" t="s">
        <v>291</v>
      </c>
      <c r="C203" s="2">
        <v>46158.322523148148</v>
      </c>
      <c r="D203" s="1" t="s">
        <v>404</v>
      </c>
      <c r="E203" s="1" t="s">
        <v>4</v>
      </c>
      <c r="F203" s="1">
        <v>2</v>
      </c>
      <c r="G203" s="1">
        <v>215100</v>
      </c>
      <c r="H203" s="20">
        <v>430200</v>
      </c>
      <c r="I203" s="3" t="s">
        <v>3</v>
      </c>
    </row>
    <row r="204" spans="2:9" x14ac:dyDescent="0.25">
      <c r="B204" s="1" t="s">
        <v>291</v>
      </c>
      <c r="C204" s="2">
        <v>46158.328356481485</v>
      </c>
      <c r="D204" s="1" t="s">
        <v>304</v>
      </c>
      <c r="E204" s="1" t="s">
        <v>2</v>
      </c>
      <c r="F204" s="1">
        <v>3</v>
      </c>
      <c r="G204" s="1">
        <v>113600</v>
      </c>
      <c r="H204" s="20">
        <v>340800</v>
      </c>
      <c r="I204" s="3" t="s">
        <v>3</v>
      </c>
    </row>
    <row r="205" spans="2:9" x14ac:dyDescent="0.25">
      <c r="B205" s="1" t="s">
        <v>291</v>
      </c>
      <c r="C205" s="2">
        <v>46158.328356481485</v>
      </c>
      <c r="D205" s="1" t="s">
        <v>304</v>
      </c>
      <c r="E205" s="1" t="s">
        <v>4</v>
      </c>
      <c r="F205" s="1">
        <v>6</v>
      </c>
      <c r="G205" s="1">
        <v>215100</v>
      </c>
      <c r="H205" s="20">
        <v>1290600</v>
      </c>
      <c r="I205" s="3" t="s">
        <v>3</v>
      </c>
    </row>
    <row r="206" spans="2:9" x14ac:dyDescent="0.25">
      <c r="B206" s="1" t="s">
        <v>291</v>
      </c>
      <c r="C206" s="2">
        <v>46158.329062500001</v>
      </c>
      <c r="D206" s="1" t="s">
        <v>405</v>
      </c>
      <c r="E206" s="1" t="s">
        <v>2</v>
      </c>
      <c r="F206" s="1">
        <v>1</v>
      </c>
      <c r="G206" s="1">
        <v>113600</v>
      </c>
      <c r="H206" s="20">
        <v>113600</v>
      </c>
      <c r="I206" s="3" t="s">
        <v>3</v>
      </c>
    </row>
    <row r="207" spans="2:9" x14ac:dyDescent="0.25">
      <c r="B207" s="1" t="s">
        <v>291</v>
      </c>
      <c r="C207" s="2">
        <v>46158.329062500001</v>
      </c>
      <c r="D207" s="1" t="s">
        <v>405</v>
      </c>
      <c r="E207" s="1" t="s">
        <v>4</v>
      </c>
      <c r="F207" s="1">
        <v>1</v>
      </c>
      <c r="G207" s="1">
        <v>215100</v>
      </c>
      <c r="H207" s="20">
        <v>215100</v>
      </c>
      <c r="I207" s="3" t="s">
        <v>3</v>
      </c>
    </row>
    <row r="208" spans="2:9" x14ac:dyDescent="0.25">
      <c r="B208" s="1" t="s">
        <v>291</v>
      </c>
      <c r="C208" s="2">
        <v>46158.329745370371</v>
      </c>
      <c r="D208" s="1" t="s">
        <v>305</v>
      </c>
      <c r="E208" s="1" t="s">
        <v>2</v>
      </c>
      <c r="F208" s="1">
        <v>1</v>
      </c>
      <c r="G208" s="1">
        <v>113600</v>
      </c>
      <c r="H208" s="20">
        <v>113600</v>
      </c>
      <c r="I208" s="3" t="s">
        <v>69</v>
      </c>
    </row>
    <row r="209" spans="2:9" x14ac:dyDescent="0.25">
      <c r="B209" s="1" t="s">
        <v>291</v>
      </c>
      <c r="C209" s="2">
        <v>46158.329745370371</v>
      </c>
      <c r="D209" s="1" t="s">
        <v>305</v>
      </c>
      <c r="E209" s="1" t="s">
        <v>4</v>
      </c>
      <c r="F209" s="1">
        <v>1</v>
      </c>
      <c r="G209" s="1">
        <v>215100</v>
      </c>
      <c r="H209" s="20">
        <v>215100</v>
      </c>
      <c r="I209" s="3" t="s">
        <v>69</v>
      </c>
    </row>
    <row r="210" spans="2:9" x14ac:dyDescent="0.25">
      <c r="B210" s="1" t="s">
        <v>291</v>
      </c>
      <c r="C210" s="2">
        <v>46158.331122685187</v>
      </c>
      <c r="D210" s="1" t="s">
        <v>306</v>
      </c>
      <c r="E210" s="1" t="s">
        <v>2</v>
      </c>
      <c r="F210" s="1">
        <v>1</v>
      </c>
      <c r="G210" s="1">
        <v>113600</v>
      </c>
      <c r="H210" s="20">
        <v>113600</v>
      </c>
      <c r="I210" s="3" t="s">
        <v>69</v>
      </c>
    </row>
    <row r="211" spans="2:9" x14ac:dyDescent="0.25">
      <c r="B211" s="1" t="s">
        <v>291</v>
      </c>
      <c r="C211" s="2">
        <v>46158.331122685187</v>
      </c>
      <c r="D211" s="1" t="s">
        <v>306</v>
      </c>
      <c r="E211" s="1" t="s">
        <v>4</v>
      </c>
      <c r="F211" s="1">
        <v>1</v>
      </c>
      <c r="G211" s="1">
        <v>215100</v>
      </c>
      <c r="H211" s="20">
        <v>215100</v>
      </c>
      <c r="I211" s="3" t="s">
        <v>69</v>
      </c>
    </row>
    <row r="212" spans="2:9" x14ac:dyDescent="0.25">
      <c r="B212" s="1" t="s">
        <v>291</v>
      </c>
      <c r="C212" s="2">
        <v>46158.580509259256</v>
      </c>
      <c r="D212" s="1" t="s">
        <v>308</v>
      </c>
      <c r="E212" s="1" t="s">
        <v>4</v>
      </c>
      <c r="F212" s="1">
        <v>2</v>
      </c>
      <c r="G212" s="1">
        <v>215100</v>
      </c>
      <c r="H212" s="20">
        <v>430200</v>
      </c>
      <c r="I212" s="3" t="s">
        <v>69</v>
      </c>
    </row>
    <row r="213" spans="2:9" x14ac:dyDescent="0.25">
      <c r="B213" s="1" t="s">
        <v>291</v>
      </c>
      <c r="C213" s="2">
        <v>46158.335034722222</v>
      </c>
      <c r="D213" s="1" t="s">
        <v>309</v>
      </c>
      <c r="E213" s="1" t="s">
        <v>2</v>
      </c>
      <c r="F213" s="1">
        <v>2</v>
      </c>
      <c r="G213" s="1">
        <v>113600</v>
      </c>
      <c r="H213" s="20">
        <v>227200</v>
      </c>
      <c r="I213" s="3" t="s">
        <v>3</v>
      </c>
    </row>
    <row r="214" spans="2:9" x14ac:dyDescent="0.25">
      <c r="B214" s="1" t="s">
        <v>291</v>
      </c>
      <c r="C214" s="2">
        <v>46158.335034722222</v>
      </c>
      <c r="D214" s="1" t="s">
        <v>309</v>
      </c>
      <c r="E214" s="1" t="s">
        <v>4</v>
      </c>
      <c r="F214" s="1">
        <v>3</v>
      </c>
      <c r="G214" s="1">
        <v>215100</v>
      </c>
      <c r="H214" s="20">
        <v>645300</v>
      </c>
      <c r="I214" s="3" t="s">
        <v>3</v>
      </c>
    </row>
    <row r="215" spans="2:9" x14ac:dyDescent="0.25">
      <c r="B215" s="1" t="s">
        <v>291</v>
      </c>
      <c r="C215" s="2">
        <v>46158.335347222222</v>
      </c>
      <c r="D215" s="1" t="s">
        <v>310</v>
      </c>
      <c r="E215" s="1" t="s">
        <v>4</v>
      </c>
      <c r="F215" s="1">
        <v>1</v>
      </c>
      <c r="G215" s="1">
        <v>215100</v>
      </c>
      <c r="H215" s="20">
        <v>215100</v>
      </c>
      <c r="I215" s="3" t="s">
        <v>69</v>
      </c>
    </row>
    <row r="216" spans="2:9" x14ac:dyDescent="0.25">
      <c r="B216" s="1" t="s">
        <v>291</v>
      </c>
      <c r="C216" s="2">
        <v>46158.336365740739</v>
      </c>
      <c r="D216" s="1" t="s">
        <v>312</v>
      </c>
      <c r="E216" s="1" t="s">
        <v>4</v>
      </c>
      <c r="F216" s="1">
        <v>1</v>
      </c>
      <c r="G216" s="1">
        <v>215100</v>
      </c>
      <c r="H216" s="20">
        <v>215100</v>
      </c>
      <c r="I216" s="3" t="s">
        <v>69</v>
      </c>
    </row>
    <row r="217" spans="2:9" x14ac:dyDescent="0.25">
      <c r="B217" s="1" t="s">
        <v>291</v>
      </c>
      <c r="C217" s="2">
        <v>46158.338958333334</v>
      </c>
      <c r="D217" s="1" t="s">
        <v>313</v>
      </c>
      <c r="E217" s="1" t="s">
        <v>4</v>
      </c>
      <c r="F217" s="1">
        <v>1</v>
      </c>
      <c r="G217" s="1">
        <v>215100</v>
      </c>
      <c r="H217" s="20">
        <v>215100</v>
      </c>
      <c r="I217" s="3" t="s">
        <v>69</v>
      </c>
    </row>
    <row r="218" spans="2:9" x14ac:dyDescent="0.25">
      <c r="B218" s="1" t="s">
        <v>291</v>
      </c>
      <c r="C218" s="2">
        <v>46158.343541666669</v>
      </c>
      <c r="D218" s="1" t="s">
        <v>307</v>
      </c>
      <c r="E218" s="1" t="s">
        <v>4</v>
      </c>
      <c r="F218" s="1">
        <v>3</v>
      </c>
      <c r="G218" s="1">
        <v>215100</v>
      </c>
      <c r="H218" s="20">
        <v>645300</v>
      </c>
      <c r="I218" s="3" t="s">
        <v>69</v>
      </c>
    </row>
    <row r="219" spans="2:9" x14ac:dyDescent="0.25">
      <c r="B219" s="1" t="s">
        <v>291</v>
      </c>
      <c r="C219" s="2">
        <v>46160.321736111109</v>
      </c>
      <c r="D219" s="1" t="s">
        <v>315</v>
      </c>
      <c r="E219" s="1" t="s">
        <v>4</v>
      </c>
      <c r="F219" s="1">
        <v>3</v>
      </c>
      <c r="G219" s="1">
        <v>215100</v>
      </c>
      <c r="H219" s="20">
        <v>645300</v>
      </c>
      <c r="I219" s="3" t="s">
        <v>69</v>
      </c>
    </row>
    <row r="220" spans="2:9" x14ac:dyDescent="0.25">
      <c r="B220" s="1" t="s">
        <v>291</v>
      </c>
      <c r="C220" s="2">
        <v>46160.323078703703</v>
      </c>
      <c r="D220" s="1" t="s">
        <v>317</v>
      </c>
      <c r="E220" s="1" t="s">
        <v>2</v>
      </c>
      <c r="F220" s="1">
        <v>2</v>
      </c>
      <c r="G220" s="1">
        <v>113600</v>
      </c>
      <c r="H220" s="20">
        <v>227200</v>
      </c>
      <c r="I220" s="3" t="s">
        <v>69</v>
      </c>
    </row>
    <row r="221" spans="2:9" x14ac:dyDescent="0.25">
      <c r="B221" s="1" t="s">
        <v>291</v>
      </c>
      <c r="C221" s="2">
        <v>46160.323078703703</v>
      </c>
      <c r="D221" s="1" t="s">
        <v>317</v>
      </c>
      <c r="E221" s="1" t="s">
        <v>4</v>
      </c>
      <c r="F221" s="1">
        <v>5</v>
      </c>
      <c r="G221" s="1">
        <v>215100</v>
      </c>
      <c r="H221" s="20">
        <v>1075500</v>
      </c>
      <c r="I221" s="3" t="s">
        <v>69</v>
      </c>
    </row>
    <row r="222" spans="2:9" x14ac:dyDescent="0.25">
      <c r="B222" s="1" t="s">
        <v>291</v>
      </c>
      <c r="C222" s="2">
        <v>46160.323900462965</v>
      </c>
      <c r="D222" s="1" t="s">
        <v>318</v>
      </c>
      <c r="E222" s="1" t="s">
        <v>2</v>
      </c>
      <c r="F222" s="1">
        <v>1</v>
      </c>
      <c r="G222" s="1">
        <v>113600</v>
      </c>
      <c r="H222" s="20">
        <v>113600</v>
      </c>
      <c r="I222" s="3" t="s">
        <v>69</v>
      </c>
    </row>
    <row r="223" spans="2:9" x14ac:dyDescent="0.25">
      <c r="B223" s="1" t="s">
        <v>291</v>
      </c>
      <c r="C223" s="2">
        <v>46160.323900462965</v>
      </c>
      <c r="D223" s="1" t="s">
        <v>318</v>
      </c>
      <c r="E223" s="1" t="s">
        <v>4</v>
      </c>
      <c r="F223" s="1">
        <v>5</v>
      </c>
      <c r="G223" s="1">
        <v>215100</v>
      </c>
      <c r="H223" s="20">
        <v>1075500</v>
      </c>
      <c r="I223" s="3" t="s">
        <v>69</v>
      </c>
    </row>
    <row r="224" spans="2:9" x14ac:dyDescent="0.25">
      <c r="B224" s="1" t="s">
        <v>291</v>
      </c>
      <c r="C224" s="2">
        <v>46160.32472222222</v>
      </c>
      <c r="D224" s="1" t="s">
        <v>319</v>
      </c>
      <c r="E224" s="1" t="s">
        <v>4</v>
      </c>
      <c r="F224" s="1">
        <v>2</v>
      </c>
      <c r="G224" s="1">
        <v>215100</v>
      </c>
      <c r="H224" s="20">
        <v>430200</v>
      </c>
      <c r="I224" s="3" t="s">
        <v>69</v>
      </c>
    </row>
    <row r="225" spans="2:9" x14ac:dyDescent="0.25">
      <c r="B225" s="1" t="s">
        <v>291</v>
      </c>
      <c r="C225" s="2">
        <v>46160.325486111113</v>
      </c>
      <c r="D225" s="1" t="s">
        <v>320</v>
      </c>
      <c r="E225" s="1" t="s">
        <v>4</v>
      </c>
      <c r="F225" s="1">
        <v>10</v>
      </c>
      <c r="G225" s="1">
        <v>215100</v>
      </c>
      <c r="H225" s="20">
        <v>2151000</v>
      </c>
      <c r="I225" s="3" t="s">
        <v>69</v>
      </c>
    </row>
    <row r="226" spans="2:9" x14ac:dyDescent="0.25">
      <c r="B226" s="1" t="s">
        <v>291</v>
      </c>
      <c r="C226" s="2">
        <v>46160.327187499999</v>
      </c>
      <c r="D226" s="1" t="s">
        <v>321</v>
      </c>
      <c r="E226" s="1" t="s">
        <v>4</v>
      </c>
      <c r="F226" s="1">
        <v>1</v>
      </c>
      <c r="G226" s="1">
        <v>215100</v>
      </c>
      <c r="H226" s="20">
        <v>215100</v>
      </c>
      <c r="I226" s="3" t="s">
        <v>3</v>
      </c>
    </row>
    <row r="227" spans="2:9" x14ac:dyDescent="0.25">
      <c r="B227" s="1" t="s">
        <v>291</v>
      </c>
      <c r="C227" s="2">
        <v>46160.328599537039</v>
      </c>
      <c r="D227" s="1" t="s">
        <v>322</v>
      </c>
      <c r="E227" s="1" t="s">
        <v>4</v>
      </c>
      <c r="F227" s="1">
        <v>2</v>
      </c>
      <c r="G227" s="1">
        <v>215100</v>
      </c>
      <c r="H227" s="20">
        <v>430200</v>
      </c>
      <c r="I227" s="3" t="s">
        <v>3</v>
      </c>
    </row>
    <row r="228" spans="2:9" x14ac:dyDescent="0.25">
      <c r="B228" s="1" t="s">
        <v>291</v>
      </c>
      <c r="C228" s="2">
        <v>46160.329282407409</v>
      </c>
      <c r="D228" s="1" t="s">
        <v>323</v>
      </c>
      <c r="E228" s="1" t="s">
        <v>4</v>
      </c>
      <c r="F228" s="1">
        <v>3</v>
      </c>
      <c r="G228" s="1">
        <v>215100</v>
      </c>
      <c r="H228" s="20">
        <v>645300</v>
      </c>
      <c r="I228" s="3" t="s">
        <v>3</v>
      </c>
    </row>
    <row r="229" spans="2:9" x14ac:dyDescent="0.25">
      <c r="B229" s="1" t="s">
        <v>291</v>
      </c>
      <c r="C229" s="2">
        <v>46160.33048611111</v>
      </c>
      <c r="D229" s="1" t="s">
        <v>324</v>
      </c>
      <c r="E229" s="1" t="s">
        <v>2</v>
      </c>
      <c r="F229" s="1">
        <v>1</v>
      </c>
      <c r="G229" s="1">
        <v>113600</v>
      </c>
      <c r="H229" s="20">
        <v>113600</v>
      </c>
      <c r="I229" s="3" t="s">
        <v>3</v>
      </c>
    </row>
    <row r="230" spans="2:9" x14ac:dyDescent="0.25">
      <c r="B230" s="1" t="s">
        <v>291</v>
      </c>
      <c r="C230" s="2">
        <v>46160.33048611111</v>
      </c>
      <c r="D230" s="1" t="s">
        <v>324</v>
      </c>
      <c r="E230" s="1" t="s">
        <v>4</v>
      </c>
      <c r="F230" s="1">
        <v>3</v>
      </c>
      <c r="G230" s="1">
        <v>215100</v>
      </c>
      <c r="H230" s="20">
        <v>645300</v>
      </c>
      <c r="I230" s="3" t="s">
        <v>3</v>
      </c>
    </row>
    <row r="231" spans="2:9" x14ac:dyDescent="0.25">
      <c r="B231" s="1" t="s">
        <v>291</v>
      </c>
      <c r="C231" s="2">
        <v>46160.345868055556</v>
      </c>
      <c r="D231" s="1" t="s">
        <v>318</v>
      </c>
      <c r="E231" s="1" t="s">
        <v>4</v>
      </c>
      <c r="F231" s="1">
        <v>2</v>
      </c>
      <c r="G231" s="1">
        <v>215100</v>
      </c>
      <c r="H231" s="20">
        <v>430200</v>
      </c>
      <c r="I231" s="3" t="s">
        <v>69</v>
      </c>
    </row>
    <row r="232" spans="2:9" x14ac:dyDescent="0.25">
      <c r="B232" s="1" t="s">
        <v>291</v>
      </c>
      <c r="C232" s="2">
        <v>46160.345868055556</v>
      </c>
      <c r="D232" s="1" t="s">
        <v>318</v>
      </c>
      <c r="E232" s="1" t="s">
        <v>2</v>
      </c>
      <c r="F232" s="1">
        <v>2</v>
      </c>
      <c r="G232" s="1">
        <v>113600</v>
      </c>
      <c r="H232" s="20">
        <v>227200</v>
      </c>
      <c r="I232" s="3" t="s">
        <v>69</v>
      </c>
    </row>
    <row r="233" spans="2:9" x14ac:dyDescent="0.25">
      <c r="B233" s="1" t="s">
        <v>291</v>
      </c>
      <c r="C233" s="2">
        <v>46160.332060185188</v>
      </c>
      <c r="D233" s="1" t="s">
        <v>327</v>
      </c>
      <c r="E233" s="1" t="s">
        <v>2</v>
      </c>
      <c r="F233" s="1">
        <v>1</v>
      </c>
      <c r="G233" s="1">
        <v>113600</v>
      </c>
      <c r="H233" s="20">
        <v>113600</v>
      </c>
      <c r="I233" s="3" t="s">
        <v>69</v>
      </c>
    </row>
    <row r="234" spans="2:9" x14ac:dyDescent="0.25">
      <c r="B234" s="1" t="s">
        <v>291</v>
      </c>
      <c r="C234" s="2">
        <v>46160.332060185188</v>
      </c>
      <c r="D234" s="1" t="s">
        <v>327</v>
      </c>
      <c r="E234" s="1" t="s">
        <v>4</v>
      </c>
      <c r="F234" s="1">
        <v>3</v>
      </c>
      <c r="G234" s="1">
        <v>215100</v>
      </c>
      <c r="H234" s="20">
        <v>645300</v>
      </c>
      <c r="I234" s="3" t="s">
        <v>69</v>
      </c>
    </row>
    <row r="235" spans="2:9" x14ac:dyDescent="0.25">
      <c r="B235" s="1" t="s">
        <v>291</v>
      </c>
      <c r="C235" s="2">
        <v>46160.332754629628</v>
      </c>
      <c r="D235" s="1" t="s">
        <v>135</v>
      </c>
      <c r="E235" s="1" t="s">
        <v>4</v>
      </c>
      <c r="F235" s="1">
        <v>3</v>
      </c>
      <c r="G235" s="1">
        <v>215100</v>
      </c>
      <c r="H235" s="20">
        <v>645300</v>
      </c>
      <c r="I235" s="3" t="s">
        <v>69</v>
      </c>
    </row>
    <row r="236" spans="2:9" x14ac:dyDescent="0.25">
      <c r="B236" s="1" t="s">
        <v>291</v>
      </c>
      <c r="C236" s="2">
        <v>46160.333472222221</v>
      </c>
      <c r="D236" s="1" t="s">
        <v>316</v>
      </c>
      <c r="E236" s="1" t="s">
        <v>4</v>
      </c>
      <c r="F236" s="1">
        <v>1</v>
      </c>
      <c r="G236" s="1">
        <v>215100</v>
      </c>
      <c r="H236" s="20">
        <v>215100</v>
      </c>
      <c r="I236" s="3" t="s">
        <v>69</v>
      </c>
    </row>
    <row r="237" spans="2:9" x14ac:dyDescent="0.25">
      <c r="B237" s="1" t="s">
        <v>291</v>
      </c>
      <c r="C237" s="2">
        <v>46160.334282407406</v>
      </c>
      <c r="D237" s="1" t="s">
        <v>319</v>
      </c>
      <c r="E237" s="1" t="s">
        <v>4</v>
      </c>
      <c r="F237" s="1">
        <v>50</v>
      </c>
      <c r="G237" s="1">
        <v>209100</v>
      </c>
      <c r="H237" s="20">
        <v>10455000</v>
      </c>
      <c r="I237" s="3" t="s">
        <v>3</v>
      </c>
    </row>
    <row r="238" spans="2:9" x14ac:dyDescent="0.25">
      <c r="B238" s="1" t="s">
        <v>291</v>
      </c>
      <c r="C238" s="2">
        <v>46160.318784722222</v>
      </c>
      <c r="D238" s="1" t="s">
        <v>299</v>
      </c>
      <c r="E238" s="1" t="s">
        <v>2</v>
      </c>
      <c r="F238" s="1">
        <v>10</v>
      </c>
      <c r="G238" s="1">
        <v>113600</v>
      </c>
      <c r="H238" s="20">
        <v>1136000</v>
      </c>
      <c r="I238" s="3" t="s">
        <v>3</v>
      </c>
    </row>
    <row r="239" spans="2:9" x14ac:dyDescent="0.25">
      <c r="B239" s="1" t="s">
        <v>291</v>
      </c>
      <c r="C239" s="2">
        <v>46161.399525462963</v>
      </c>
      <c r="D239" s="1" t="s">
        <v>330</v>
      </c>
      <c r="E239" s="1" t="s">
        <v>4</v>
      </c>
      <c r="F239" s="1">
        <v>1</v>
      </c>
      <c r="G239" s="1">
        <v>215100</v>
      </c>
      <c r="H239" s="20">
        <v>215100</v>
      </c>
      <c r="I239" s="3" t="s">
        <v>3</v>
      </c>
    </row>
    <row r="240" spans="2:9" x14ac:dyDescent="0.25">
      <c r="B240" s="1" t="s">
        <v>291</v>
      </c>
      <c r="C240" s="2">
        <v>46161.40016203704</v>
      </c>
      <c r="D240" s="1" t="s">
        <v>320</v>
      </c>
      <c r="E240" s="1" t="s">
        <v>4</v>
      </c>
      <c r="F240" s="1">
        <v>2</v>
      </c>
      <c r="G240" s="1">
        <v>215100</v>
      </c>
      <c r="H240" s="20">
        <v>430200</v>
      </c>
      <c r="I240" s="3" t="s">
        <v>69</v>
      </c>
    </row>
    <row r="241" spans="2:9" x14ac:dyDescent="0.25">
      <c r="B241" s="1" t="s">
        <v>291</v>
      </c>
      <c r="C241" s="2">
        <v>46161.401782407411</v>
      </c>
      <c r="D241" s="1" t="s">
        <v>332</v>
      </c>
      <c r="E241" s="1" t="s">
        <v>2</v>
      </c>
      <c r="F241" s="1">
        <v>5</v>
      </c>
      <c r="G241" s="1">
        <v>113600</v>
      </c>
      <c r="H241" s="20">
        <v>568000</v>
      </c>
      <c r="I241" s="3" t="s">
        <v>69</v>
      </c>
    </row>
    <row r="242" spans="2:9" x14ac:dyDescent="0.25">
      <c r="B242" s="1" t="s">
        <v>291</v>
      </c>
      <c r="C242" s="2">
        <v>46161.401782407411</v>
      </c>
      <c r="D242" s="1" t="s">
        <v>332</v>
      </c>
      <c r="E242" s="1" t="s">
        <v>4</v>
      </c>
      <c r="F242" s="1">
        <v>10</v>
      </c>
      <c r="G242" s="1">
        <v>215100</v>
      </c>
      <c r="H242" s="20">
        <v>2151000</v>
      </c>
      <c r="I242" s="3" t="s">
        <v>69</v>
      </c>
    </row>
    <row r="243" spans="2:9" x14ac:dyDescent="0.25">
      <c r="B243" s="1" t="s">
        <v>291</v>
      </c>
      <c r="C243" s="2">
        <v>46161.402465277781</v>
      </c>
      <c r="D243" s="1" t="s">
        <v>336</v>
      </c>
      <c r="E243" s="1" t="s">
        <v>4</v>
      </c>
      <c r="F243" s="1">
        <v>3</v>
      </c>
      <c r="G243" s="1">
        <v>215100</v>
      </c>
      <c r="H243" s="20">
        <v>645300</v>
      </c>
      <c r="I243" s="3" t="s">
        <v>69</v>
      </c>
    </row>
    <row r="244" spans="2:9" x14ac:dyDescent="0.25">
      <c r="B244" s="1" t="s">
        <v>291</v>
      </c>
      <c r="C244" s="2">
        <v>46161.403090277781</v>
      </c>
      <c r="D244" s="1" t="s">
        <v>334</v>
      </c>
      <c r="E244" s="1" t="s">
        <v>4</v>
      </c>
      <c r="F244" s="1">
        <v>1</v>
      </c>
      <c r="G244" s="1">
        <v>215100</v>
      </c>
      <c r="H244" s="20">
        <v>215100</v>
      </c>
      <c r="I244" s="3" t="s">
        <v>69</v>
      </c>
    </row>
    <row r="245" spans="2:9" x14ac:dyDescent="0.25">
      <c r="B245" s="1" t="s">
        <v>291</v>
      </c>
      <c r="C245" s="2">
        <v>46161.404479166667</v>
      </c>
      <c r="D245" s="1" t="s">
        <v>333</v>
      </c>
      <c r="E245" s="1" t="s">
        <v>2</v>
      </c>
      <c r="F245" s="1">
        <v>6</v>
      </c>
      <c r="G245" s="1">
        <v>113600</v>
      </c>
      <c r="H245" s="20">
        <v>681600</v>
      </c>
      <c r="I245" s="3" t="s">
        <v>3</v>
      </c>
    </row>
    <row r="246" spans="2:9" x14ac:dyDescent="0.25">
      <c r="B246" s="1" t="s">
        <v>291</v>
      </c>
      <c r="C246" s="2">
        <v>46161.405775462961</v>
      </c>
      <c r="D246" s="1" t="s">
        <v>335</v>
      </c>
      <c r="E246" s="1" t="s">
        <v>4</v>
      </c>
      <c r="F246" s="1">
        <v>1</v>
      </c>
      <c r="G246" s="1">
        <v>215100</v>
      </c>
      <c r="H246" s="20">
        <v>215100</v>
      </c>
      <c r="I246" s="3" t="s">
        <v>69</v>
      </c>
    </row>
    <row r="247" spans="2:9" x14ac:dyDescent="0.25">
      <c r="B247" s="1" t="s">
        <v>291</v>
      </c>
      <c r="C247" s="2">
        <v>46161.406446759262</v>
      </c>
      <c r="D247" s="1" t="s">
        <v>337</v>
      </c>
      <c r="E247" s="1" t="s">
        <v>2</v>
      </c>
      <c r="F247" s="1">
        <v>5</v>
      </c>
      <c r="G247" s="1">
        <v>113600</v>
      </c>
      <c r="H247" s="20">
        <v>568000</v>
      </c>
      <c r="I247" s="3" t="s">
        <v>3</v>
      </c>
    </row>
    <row r="248" spans="2:9" x14ac:dyDescent="0.25">
      <c r="B248" s="1" t="s">
        <v>291</v>
      </c>
      <c r="C248" s="2">
        <v>46161.356759259259</v>
      </c>
      <c r="D248" s="1" t="s">
        <v>406</v>
      </c>
      <c r="E248" s="1" t="s">
        <v>4</v>
      </c>
      <c r="F248" s="1">
        <v>5</v>
      </c>
      <c r="G248" s="1">
        <v>215100</v>
      </c>
      <c r="H248" s="20">
        <v>1075500</v>
      </c>
      <c r="I248" s="3" t="s">
        <v>3</v>
      </c>
    </row>
    <row r="249" spans="2:9" x14ac:dyDescent="0.25">
      <c r="B249" s="1" t="s">
        <v>291</v>
      </c>
      <c r="C249" s="2">
        <v>46161.356759259259</v>
      </c>
      <c r="D249" s="1" t="s">
        <v>406</v>
      </c>
      <c r="E249" s="1" t="s">
        <v>2</v>
      </c>
      <c r="F249" s="1">
        <v>15</v>
      </c>
      <c r="G249" s="1">
        <v>113600</v>
      </c>
      <c r="H249" s="20">
        <v>1704000</v>
      </c>
      <c r="I249" s="3" t="s">
        <v>3</v>
      </c>
    </row>
    <row r="250" spans="2:9" x14ac:dyDescent="0.25">
      <c r="B250" s="1" t="s">
        <v>291</v>
      </c>
      <c r="C250" s="2">
        <v>46162.383912037039</v>
      </c>
      <c r="D250" s="1" t="s">
        <v>339</v>
      </c>
      <c r="E250" s="1" t="s">
        <v>2</v>
      </c>
      <c r="F250" s="1">
        <v>2</v>
      </c>
      <c r="G250" s="1">
        <v>113600</v>
      </c>
      <c r="H250" s="20">
        <v>227200</v>
      </c>
      <c r="I250" s="3" t="s">
        <v>3</v>
      </c>
    </row>
    <row r="251" spans="2:9" x14ac:dyDescent="0.25">
      <c r="B251" s="1" t="s">
        <v>291</v>
      </c>
      <c r="C251" s="2">
        <v>46162.383912037039</v>
      </c>
      <c r="D251" s="1" t="s">
        <v>339</v>
      </c>
      <c r="E251" s="1" t="s">
        <v>4</v>
      </c>
      <c r="F251" s="1">
        <v>3</v>
      </c>
      <c r="G251" s="1">
        <v>215100</v>
      </c>
      <c r="H251" s="20">
        <v>645300</v>
      </c>
      <c r="I251" s="3" t="s">
        <v>3</v>
      </c>
    </row>
    <row r="252" spans="2:9" x14ac:dyDescent="0.25">
      <c r="B252" s="1" t="s">
        <v>291</v>
      </c>
      <c r="C252" s="2">
        <v>46162.384988425925</v>
      </c>
      <c r="D252" s="1" t="s">
        <v>340</v>
      </c>
      <c r="E252" s="1" t="s">
        <v>2</v>
      </c>
      <c r="F252" s="1">
        <v>10</v>
      </c>
      <c r="G252" s="1">
        <v>113600</v>
      </c>
      <c r="H252" s="20">
        <v>1136000</v>
      </c>
      <c r="I252" s="3" t="s">
        <v>3</v>
      </c>
    </row>
    <row r="253" spans="2:9" x14ac:dyDescent="0.25">
      <c r="B253" s="1" t="s">
        <v>291</v>
      </c>
      <c r="C253" s="2">
        <v>46162.385636574072</v>
      </c>
      <c r="D253" s="1" t="s">
        <v>341</v>
      </c>
      <c r="E253" s="1" t="s">
        <v>4</v>
      </c>
      <c r="F253" s="1">
        <v>1</v>
      </c>
      <c r="G253" s="1">
        <v>215100</v>
      </c>
      <c r="H253" s="20">
        <v>215100</v>
      </c>
      <c r="I253" s="3" t="s">
        <v>69</v>
      </c>
    </row>
    <row r="254" spans="2:9" x14ac:dyDescent="0.25">
      <c r="B254" s="1" t="s">
        <v>291</v>
      </c>
      <c r="C254" s="2">
        <v>46162.386874999997</v>
      </c>
      <c r="D254" s="1" t="s">
        <v>61</v>
      </c>
      <c r="E254" s="1" t="s">
        <v>2</v>
      </c>
      <c r="F254" s="1">
        <v>1</v>
      </c>
      <c r="G254" s="1">
        <v>113600</v>
      </c>
      <c r="H254" s="20">
        <v>113600</v>
      </c>
      <c r="I254" s="3" t="s">
        <v>69</v>
      </c>
    </row>
    <row r="255" spans="2:9" x14ac:dyDescent="0.25">
      <c r="B255" s="1" t="s">
        <v>291</v>
      </c>
      <c r="C255" s="2">
        <v>46162.386874999997</v>
      </c>
      <c r="D255" s="1" t="s">
        <v>61</v>
      </c>
      <c r="E255" s="1" t="s">
        <v>4</v>
      </c>
      <c r="F255" s="1">
        <v>1</v>
      </c>
      <c r="G255" s="1">
        <v>215100</v>
      </c>
      <c r="H255" s="20">
        <v>215100</v>
      </c>
      <c r="I255" s="3" t="s">
        <v>69</v>
      </c>
    </row>
    <row r="256" spans="2:9" x14ac:dyDescent="0.25">
      <c r="B256" s="1" t="s">
        <v>291</v>
      </c>
      <c r="C256" s="2">
        <v>46162.326828703706</v>
      </c>
      <c r="D256" s="1" t="s">
        <v>344</v>
      </c>
      <c r="E256" s="1" t="s">
        <v>4</v>
      </c>
      <c r="F256" s="1">
        <v>3</v>
      </c>
      <c r="G256" s="1">
        <v>215100</v>
      </c>
      <c r="H256" s="20">
        <v>645300</v>
      </c>
      <c r="I256" s="3" t="s">
        <v>3</v>
      </c>
    </row>
    <row r="257" spans="2:9" x14ac:dyDescent="0.25">
      <c r="B257" s="1" t="s">
        <v>291</v>
      </c>
      <c r="C257" s="2">
        <v>46162.326828703706</v>
      </c>
      <c r="D257" s="1" t="s">
        <v>344</v>
      </c>
      <c r="E257" s="1" t="s">
        <v>2</v>
      </c>
      <c r="F257" s="1">
        <v>3</v>
      </c>
      <c r="G257" s="1">
        <v>113600</v>
      </c>
      <c r="H257" s="20">
        <v>340800</v>
      </c>
      <c r="I257" s="3" t="s">
        <v>3</v>
      </c>
    </row>
    <row r="258" spans="2:9" x14ac:dyDescent="0.25">
      <c r="B258" s="1" t="s">
        <v>291</v>
      </c>
      <c r="C258" s="2">
        <v>46162.388819444444</v>
      </c>
      <c r="D258" s="1" t="s">
        <v>345</v>
      </c>
      <c r="E258" s="1" t="s">
        <v>2</v>
      </c>
      <c r="F258" s="1">
        <v>3</v>
      </c>
      <c r="G258" s="1">
        <v>113600</v>
      </c>
      <c r="H258" s="20">
        <v>340800</v>
      </c>
      <c r="I258" s="3" t="s">
        <v>69</v>
      </c>
    </row>
    <row r="259" spans="2:9" x14ac:dyDescent="0.25">
      <c r="B259" s="1" t="s">
        <v>291</v>
      </c>
      <c r="C259" s="2">
        <v>46162.388819444444</v>
      </c>
      <c r="D259" s="1" t="s">
        <v>345</v>
      </c>
      <c r="E259" s="1" t="s">
        <v>4</v>
      </c>
      <c r="F259" s="1">
        <v>5</v>
      </c>
      <c r="G259" s="1">
        <v>215100</v>
      </c>
      <c r="H259" s="20">
        <v>1075500</v>
      </c>
      <c r="I259" s="3" t="s">
        <v>69</v>
      </c>
    </row>
    <row r="260" spans="2:9" x14ac:dyDescent="0.25">
      <c r="B260" s="1" t="s">
        <v>291</v>
      </c>
      <c r="C260" s="2">
        <v>46163.414247685185</v>
      </c>
      <c r="D260" s="1" t="s">
        <v>347</v>
      </c>
      <c r="E260" s="1" t="s">
        <v>4</v>
      </c>
      <c r="F260" s="1">
        <v>3</v>
      </c>
      <c r="G260" s="1">
        <v>215100</v>
      </c>
      <c r="H260" s="20">
        <v>645300</v>
      </c>
      <c r="I260" s="3" t="s">
        <v>69</v>
      </c>
    </row>
    <row r="261" spans="2:9" x14ac:dyDescent="0.25">
      <c r="B261" s="1" t="s">
        <v>291</v>
      </c>
      <c r="C261" s="2">
        <v>46163.414247685185</v>
      </c>
      <c r="D261" s="1" t="s">
        <v>347</v>
      </c>
      <c r="E261" s="1" t="s">
        <v>2</v>
      </c>
      <c r="F261" s="1">
        <v>1</v>
      </c>
      <c r="G261" s="1">
        <v>113600</v>
      </c>
      <c r="H261" s="20">
        <v>113600</v>
      </c>
      <c r="I261" s="3" t="s">
        <v>69</v>
      </c>
    </row>
    <row r="262" spans="2:9" x14ac:dyDescent="0.25">
      <c r="B262" s="1" t="s">
        <v>291</v>
      </c>
      <c r="C262" s="2">
        <v>46163.4137962963</v>
      </c>
      <c r="D262" s="1" t="s">
        <v>348</v>
      </c>
      <c r="E262" s="1" t="s">
        <v>4</v>
      </c>
      <c r="F262" s="1">
        <v>2</v>
      </c>
      <c r="G262" s="1">
        <v>215100</v>
      </c>
      <c r="H262" s="20">
        <v>430200</v>
      </c>
      <c r="I262" s="3" t="s">
        <v>69</v>
      </c>
    </row>
    <row r="263" spans="2:9" x14ac:dyDescent="0.25">
      <c r="B263" s="1" t="s">
        <v>291</v>
      </c>
      <c r="C263" s="2">
        <v>46163.413310185184</v>
      </c>
      <c r="D263" s="1" t="s">
        <v>349</v>
      </c>
      <c r="E263" s="1" t="s">
        <v>4</v>
      </c>
      <c r="F263" s="1">
        <v>1</v>
      </c>
      <c r="G263" s="1">
        <v>215100</v>
      </c>
      <c r="H263" s="20">
        <v>215100</v>
      </c>
      <c r="I263" s="3" t="s">
        <v>69</v>
      </c>
    </row>
    <row r="264" spans="2:9" x14ac:dyDescent="0.25">
      <c r="B264" s="1" t="s">
        <v>291</v>
      </c>
      <c r="C264" s="2">
        <v>46163.41306712963</v>
      </c>
      <c r="D264" s="1" t="s">
        <v>360</v>
      </c>
      <c r="E264" s="1" t="s">
        <v>4</v>
      </c>
      <c r="F264" s="1">
        <v>1</v>
      </c>
      <c r="G264" s="1">
        <v>215100</v>
      </c>
      <c r="H264" s="20">
        <v>215100</v>
      </c>
      <c r="I264" s="3" t="s">
        <v>69</v>
      </c>
    </row>
    <row r="265" spans="2:9" x14ac:dyDescent="0.25">
      <c r="B265" s="1" t="s">
        <v>291</v>
      </c>
      <c r="C265" s="2">
        <v>46163.412523148145</v>
      </c>
      <c r="D265" s="1" t="s">
        <v>352</v>
      </c>
      <c r="E265" s="1" t="s">
        <v>4</v>
      </c>
      <c r="F265" s="1">
        <v>5</v>
      </c>
      <c r="G265" s="1">
        <v>215100</v>
      </c>
      <c r="H265" s="20">
        <v>1075500</v>
      </c>
      <c r="I265" s="3" t="s">
        <v>3</v>
      </c>
    </row>
    <row r="266" spans="2:9" x14ac:dyDescent="0.25">
      <c r="B266" s="1" t="s">
        <v>291</v>
      </c>
      <c r="C266" s="2">
        <v>46163.384826388887</v>
      </c>
      <c r="D266" s="1" t="s">
        <v>353</v>
      </c>
      <c r="E266" s="1" t="s">
        <v>4</v>
      </c>
      <c r="F266" s="1">
        <v>1</v>
      </c>
      <c r="G266" s="1">
        <v>215100</v>
      </c>
      <c r="H266" s="20">
        <v>215100</v>
      </c>
      <c r="I266" s="3" t="s">
        <v>3</v>
      </c>
    </row>
    <row r="267" spans="2:9" x14ac:dyDescent="0.25">
      <c r="B267" s="1" t="s">
        <v>291</v>
      </c>
      <c r="C267" s="2">
        <v>46163.384826388887</v>
      </c>
      <c r="D267" s="1" t="s">
        <v>353</v>
      </c>
      <c r="E267" s="1" t="s">
        <v>2</v>
      </c>
      <c r="F267" s="1">
        <v>2</v>
      </c>
      <c r="G267" s="1">
        <v>113600</v>
      </c>
      <c r="H267" s="20">
        <v>227200</v>
      </c>
      <c r="I267" s="3" t="s">
        <v>3</v>
      </c>
    </row>
    <row r="268" spans="2:9" x14ac:dyDescent="0.25">
      <c r="B268" s="1" t="s">
        <v>291</v>
      </c>
      <c r="C268" s="2">
        <v>46163.386481481481</v>
      </c>
      <c r="D268" s="1" t="s">
        <v>351</v>
      </c>
      <c r="E268" s="1" t="s">
        <v>4</v>
      </c>
      <c r="F268" s="1">
        <v>3</v>
      </c>
      <c r="G268" s="1">
        <v>215100</v>
      </c>
      <c r="H268" s="20">
        <v>645300</v>
      </c>
      <c r="I268" s="3" t="s">
        <v>69</v>
      </c>
    </row>
    <row r="269" spans="2:9" x14ac:dyDescent="0.25">
      <c r="B269" s="1" t="s">
        <v>291</v>
      </c>
      <c r="C269" s="2">
        <v>46163.388599537036</v>
      </c>
      <c r="D269" s="1" t="s">
        <v>355</v>
      </c>
      <c r="E269" s="1" t="s">
        <v>4</v>
      </c>
      <c r="F269" s="1">
        <v>1</v>
      </c>
      <c r="G269" s="1">
        <v>215100</v>
      </c>
      <c r="H269" s="20">
        <v>215100</v>
      </c>
      <c r="I269" s="3" t="s">
        <v>69</v>
      </c>
    </row>
    <row r="270" spans="2:9" x14ac:dyDescent="0.25">
      <c r="B270" s="1" t="s">
        <v>291</v>
      </c>
      <c r="C270" s="2">
        <v>46163.390057870369</v>
      </c>
      <c r="D270" s="1" t="s">
        <v>356</v>
      </c>
      <c r="E270" s="1" t="s">
        <v>4</v>
      </c>
      <c r="F270" s="1">
        <v>2</v>
      </c>
      <c r="G270" s="1">
        <v>215100</v>
      </c>
      <c r="H270" s="20">
        <v>430200</v>
      </c>
      <c r="I270" s="3" t="s">
        <v>69</v>
      </c>
    </row>
    <row r="271" spans="2:9" x14ac:dyDescent="0.25">
      <c r="B271" s="1" t="s">
        <v>291</v>
      </c>
      <c r="C271" s="2">
        <v>46163.392743055556</v>
      </c>
      <c r="D271" s="1" t="s">
        <v>358</v>
      </c>
      <c r="E271" s="1" t="s">
        <v>4</v>
      </c>
      <c r="F271" s="1">
        <v>1</v>
      </c>
      <c r="G271" s="1">
        <v>215100</v>
      </c>
      <c r="H271" s="20">
        <v>215100</v>
      </c>
      <c r="I271" s="3" t="s">
        <v>69</v>
      </c>
    </row>
    <row r="272" spans="2:9" x14ac:dyDescent="0.25">
      <c r="B272" s="1" t="s">
        <v>291</v>
      </c>
      <c r="C272" s="2">
        <v>46163.394363425927</v>
      </c>
      <c r="D272" s="1" t="s">
        <v>359</v>
      </c>
      <c r="E272" s="1" t="s">
        <v>4</v>
      </c>
      <c r="F272" s="1">
        <v>1</v>
      </c>
      <c r="G272" s="1">
        <v>215100</v>
      </c>
      <c r="H272" s="20">
        <v>215100</v>
      </c>
      <c r="I272" s="3" t="s">
        <v>69</v>
      </c>
    </row>
    <row r="273" spans="2:9" x14ac:dyDescent="0.25">
      <c r="B273" s="1" t="s">
        <v>291</v>
      </c>
      <c r="C273" s="2">
        <v>46164.311956018515</v>
      </c>
      <c r="D273" s="1" t="s">
        <v>368</v>
      </c>
      <c r="E273" s="1" t="s">
        <v>4</v>
      </c>
      <c r="F273" s="1">
        <v>2</v>
      </c>
      <c r="G273" s="1">
        <v>215100</v>
      </c>
      <c r="H273" s="20">
        <v>430200</v>
      </c>
      <c r="I273" s="3" t="s">
        <v>69</v>
      </c>
    </row>
    <row r="274" spans="2:9" x14ac:dyDescent="0.25">
      <c r="B274" s="1" t="s">
        <v>291</v>
      </c>
      <c r="C274" s="2">
        <v>46164.311516203707</v>
      </c>
      <c r="D274" s="1" t="s">
        <v>363</v>
      </c>
      <c r="E274" s="1" t="s">
        <v>2</v>
      </c>
      <c r="F274" s="1">
        <v>2</v>
      </c>
      <c r="G274" s="1">
        <v>113600</v>
      </c>
      <c r="H274" s="20">
        <v>227200</v>
      </c>
      <c r="I274" s="3" t="s">
        <v>69</v>
      </c>
    </row>
    <row r="275" spans="2:9" x14ac:dyDescent="0.25">
      <c r="B275" s="1" t="s">
        <v>291</v>
      </c>
      <c r="C275" s="2">
        <v>46164.312523148146</v>
      </c>
      <c r="D275" s="1" t="s">
        <v>305</v>
      </c>
      <c r="E275" s="1" t="s">
        <v>4</v>
      </c>
      <c r="F275" s="1">
        <v>1</v>
      </c>
      <c r="G275" s="1">
        <v>215100</v>
      </c>
      <c r="H275" s="20">
        <v>215100</v>
      </c>
      <c r="I275" s="3" t="s">
        <v>69</v>
      </c>
    </row>
    <row r="276" spans="2:9" x14ac:dyDescent="0.25">
      <c r="B276" s="1" t="s">
        <v>291</v>
      </c>
      <c r="C276" s="2">
        <v>46164.313240740739</v>
      </c>
      <c r="D276" s="1" t="s">
        <v>364</v>
      </c>
      <c r="E276" s="1" t="s">
        <v>2</v>
      </c>
      <c r="F276" s="1">
        <v>1</v>
      </c>
      <c r="G276" s="1">
        <v>113600</v>
      </c>
      <c r="H276" s="20">
        <v>113600</v>
      </c>
      <c r="I276" s="3" t="s">
        <v>69</v>
      </c>
    </row>
    <row r="277" spans="2:9" x14ac:dyDescent="0.25">
      <c r="B277" s="1" t="s">
        <v>291</v>
      </c>
      <c r="C277" s="2">
        <v>46164.313240740739</v>
      </c>
      <c r="D277" s="1" t="s">
        <v>364</v>
      </c>
      <c r="E277" s="1" t="s">
        <v>4</v>
      </c>
      <c r="F277" s="1">
        <v>1</v>
      </c>
      <c r="G277" s="1">
        <v>215100</v>
      </c>
      <c r="H277" s="20">
        <v>215100</v>
      </c>
      <c r="I277" s="3" t="s">
        <v>69</v>
      </c>
    </row>
    <row r="278" spans="2:9" x14ac:dyDescent="0.25">
      <c r="B278" s="1" t="s">
        <v>291</v>
      </c>
      <c r="C278" s="2">
        <v>46164.315254629626</v>
      </c>
      <c r="D278" s="1" t="s">
        <v>123</v>
      </c>
      <c r="E278" s="1" t="s">
        <v>2</v>
      </c>
      <c r="F278" s="1">
        <v>2</v>
      </c>
      <c r="G278" s="1">
        <v>113600</v>
      </c>
      <c r="H278" s="20">
        <v>227200</v>
      </c>
      <c r="I278" s="3" t="s">
        <v>3</v>
      </c>
    </row>
    <row r="279" spans="2:9" x14ac:dyDescent="0.25">
      <c r="B279" s="1" t="s">
        <v>291</v>
      </c>
      <c r="C279" s="2">
        <v>46164.31621527778</v>
      </c>
      <c r="D279" s="1" t="s">
        <v>407</v>
      </c>
      <c r="E279" s="1" t="s">
        <v>2</v>
      </c>
      <c r="F279" s="1">
        <v>1</v>
      </c>
      <c r="G279" s="1">
        <v>113600</v>
      </c>
      <c r="H279" s="20">
        <v>113600</v>
      </c>
      <c r="I279" s="3" t="s">
        <v>3</v>
      </c>
    </row>
    <row r="280" spans="2:9" x14ac:dyDescent="0.25">
      <c r="B280" s="1" t="s">
        <v>291</v>
      </c>
      <c r="C280" s="2">
        <v>46164.317037037035</v>
      </c>
      <c r="D280" s="1" t="s">
        <v>367</v>
      </c>
      <c r="E280" s="1" t="s">
        <v>4</v>
      </c>
      <c r="F280" s="1">
        <v>10</v>
      </c>
      <c r="G280" s="1">
        <v>215100</v>
      </c>
      <c r="H280" s="20">
        <v>2151000</v>
      </c>
      <c r="I280" s="3" t="s">
        <v>69</v>
      </c>
    </row>
    <row r="281" spans="2:9" x14ac:dyDescent="0.25">
      <c r="B281" s="1" t="s">
        <v>291</v>
      </c>
      <c r="C281" s="2">
        <v>46164.318009259259</v>
      </c>
      <c r="D281" s="1" t="s">
        <v>366</v>
      </c>
      <c r="E281" s="1" t="s">
        <v>4</v>
      </c>
      <c r="F281" s="1">
        <v>1</v>
      </c>
      <c r="G281" s="1">
        <v>215100</v>
      </c>
      <c r="H281" s="20">
        <v>215100</v>
      </c>
      <c r="I281" s="3" t="s">
        <v>69</v>
      </c>
    </row>
    <row r="282" spans="2:9" x14ac:dyDescent="0.25">
      <c r="B282" s="1" t="s">
        <v>291</v>
      </c>
      <c r="C282" s="2">
        <v>46164.318668981483</v>
      </c>
      <c r="D282" s="1" t="s">
        <v>365</v>
      </c>
      <c r="E282" s="1" t="s">
        <v>2</v>
      </c>
      <c r="F282" s="1">
        <v>1</v>
      </c>
      <c r="G282" s="1">
        <v>113600</v>
      </c>
      <c r="H282" s="20">
        <v>113600</v>
      </c>
      <c r="I282" s="3" t="s">
        <v>69</v>
      </c>
    </row>
    <row r="283" spans="2:9" x14ac:dyDescent="0.25">
      <c r="B283" s="1" t="s">
        <v>291</v>
      </c>
      <c r="C283" s="2">
        <v>46164.318668981483</v>
      </c>
      <c r="D283" s="1" t="s">
        <v>365</v>
      </c>
      <c r="E283" s="1" t="s">
        <v>4</v>
      </c>
      <c r="F283" s="1">
        <v>1</v>
      </c>
      <c r="G283" s="1">
        <v>215100</v>
      </c>
      <c r="H283" s="20">
        <v>215100</v>
      </c>
      <c r="I283" s="3" t="s">
        <v>69</v>
      </c>
    </row>
    <row r="284" spans="2:9" x14ac:dyDescent="0.25">
      <c r="B284" s="1" t="s">
        <v>291</v>
      </c>
      <c r="C284" s="2">
        <v>46165.316631944443</v>
      </c>
      <c r="D284" s="1" t="s">
        <v>373</v>
      </c>
      <c r="E284" s="1" t="s">
        <v>4</v>
      </c>
      <c r="F284" s="1">
        <v>1</v>
      </c>
      <c r="G284" s="1">
        <v>215100</v>
      </c>
      <c r="H284" s="20">
        <v>215100</v>
      </c>
      <c r="I284" s="3" t="s">
        <v>69</v>
      </c>
    </row>
    <row r="285" spans="2:9" x14ac:dyDescent="0.25">
      <c r="B285" s="1" t="s">
        <v>291</v>
      </c>
      <c r="C285" s="2">
        <v>46165.317384259259</v>
      </c>
      <c r="D285" s="1" t="s">
        <v>151</v>
      </c>
      <c r="E285" s="1" t="s">
        <v>4</v>
      </c>
      <c r="F285" s="1">
        <v>1</v>
      </c>
      <c r="G285" s="1">
        <v>215100</v>
      </c>
      <c r="H285" s="20">
        <v>215100</v>
      </c>
      <c r="I285" s="3" t="s">
        <v>3</v>
      </c>
    </row>
    <row r="286" spans="2:9" x14ac:dyDescent="0.25">
      <c r="B286" s="1" t="s">
        <v>291</v>
      </c>
      <c r="C286" s="2">
        <v>46165.318680555552</v>
      </c>
      <c r="D286" s="1" t="s">
        <v>292</v>
      </c>
      <c r="E286" s="1" t="s">
        <v>4</v>
      </c>
      <c r="F286" s="1">
        <v>1</v>
      </c>
      <c r="G286" s="1">
        <v>215100</v>
      </c>
      <c r="H286" s="20">
        <v>215100</v>
      </c>
      <c r="I286" s="3" t="s">
        <v>69</v>
      </c>
    </row>
    <row r="287" spans="2:9" x14ac:dyDescent="0.25">
      <c r="B287" s="1" t="s">
        <v>291</v>
      </c>
      <c r="C287" s="2">
        <v>46165.322337962964</v>
      </c>
      <c r="D287" s="1" t="s">
        <v>370</v>
      </c>
      <c r="E287" s="1" t="s">
        <v>4</v>
      </c>
      <c r="F287" s="1">
        <v>1</v>
      </c>
      <c r="G287" s="1">
        <v>215100</v>
      </c>
      <c r="H287" s="20">
        <v>215100</v>
      </c>
      <c r="I287" s="3" t="s">
        <v>69</v>
      </c>
    </row>
    <row r="288" spans="2:9" x14ac:dyDescent="0.25">
      <c r="B288" s="1" t="s">
        <v>291</v>
      </c>
      <c r="C288" s="2">
        <v>46165.32309027778</v>
      </c>
      <c r="D288" s="1" t="s">
        <v>408</v>
      </c>
      <c r="E288" s="1" t="s">
        <v>2</v>
      </c>
      <c r="F288" s="1">
        <v>1</v>
      </c>
      <c r="G288" s="1">
        <v>113600</v>
      </c>
      <c r="H288" s="20">
        <v>113600</v>
      </c>
      <c r="I288" s="3" t="s">
        <v>69</v>
      </c>
    </row>
    <row r="289" spans="2:9" x14ac:dyDescent="0.25">
      <c r="B289" s="1" t="s">
        <v>291</v>
      </c>
      <c r="C289" s="2">
        <v>46165.32309027778</v>
      </c>
      <c r="D289" s="1" t="s">
        <v>408</v>
      </c>
      <c r="E289" s="1" t="s">
        <v>4</v>
      </c>
      <c r="F289" s="1">
        <v>1</v>
      </c>
      <c r="G289" s="1">
        <v>215100</v>
      </c>
      <c r="H289" s="20">
        <v>215100</v>
      </c>
      <c r="I289" s="3" t="s">
        <v>69</v>
      </c>
    </row>
    <row r="290" spans="2:9" x14ac:dyDescent="0.25">
      <c r="B290" s="1" t="s">
        <v>291</v>
      </c>
      <c r="C290" s="2">
        <v>46165.325960648152</v>
      </c>
      <c r="D290" s="1" t="s">
        <v>352</v>
      </c>
      <c r="E290" s="1" t="s">
        <v>2</v>
      </c>
      <c r="F290" s="1">
        <v>5</v>
      </c>
      <c r="G290" s="1">
        <v>113600</v>
      </c>
      <c r="H290" s="20">
        <v>568000</v>
      </c>
      <c r="I290" s="3" t="s">
        <v>3</v>
      </c>
    </row>
    <row r="291" spans="2:9" x14ac:dyDescent="0.25">
      <c r="B291" s="1" t="s">
        <v>291</v>
      </c>
      <c r="C291" s="2">
        <v>46165.326643518521</v>
      </c>
      <c r="D291" s="1" t="s">
        <v>372</v>
      </c>
      <c r="E291" s="1" t="s">
        <v>4</v>
      </c>
      <c r="F291" s="1">
        <v>3</v>
      </c>
      <c r="G291" s="1">
        <v>215100</v>
      </c>
      <c r="H291" s="20">
        <v>645300</v>
      </c>
      <c r="I291" s="3" t="s">
        <v>69</v>
      </c>
    </row>
    <row r="292" spans="2:9" x14ac:dyDescent="0.25">
      <c r="B292" s="1" t="s">
        <v>291</v>
      </c>
      <c r="C292" s="2">
        <v>46165.330659722225</v>
      </c>
      <c r="D292" s="1" t="s">
        <v>409</v>
      </c>
      <c r="E292" s="1" t="s">
        <v>4</v>
      </c>
      <c r="F292" s="1">
        <v>3</v>
      </c>
      <c r="G292" s="1">
        <v>215100</v>
      </c>
      <c r="H292" s="20">
        <v>645300</v>
      </c>
      <c r="I292" s="3" t="s">
        <v>3</v>
      </c>
    </row>
    <row r="293" spans="2:9" x14ac:dyDescent="0.25">
      <c r="B293" s="1" t="s">
        <v>291</v>
      </c>
      <c r="C293" s="2">
        <v>46165.330659722225</v>
      </c>
      <c r="D293" s="1" t="s">
        <v>409</v>
      </c>
      <c r="E293" s="1" t="s">
        <v>2</v>
      </c>
      <c r="F293" s="1">
        <v>2</v>
      </c>
      <c r="G293" s="1">
        <v>113600</v>
      </c>
      <c r="H293" s="20">
        <v>227200</v>
      </c>
      <c r="I293" s="3" t="s">
        <v>3</v>
      </c>
    </row>
    <row r="294" spans="2:9" x14ac:dyDescent="0.25">
      <c r="B294" s="1" t="s">
        <v>291</v>
      </c>
      <c r="C294" s="2">
        <v>46165.328842592593</v>
      </c>
      <c r="D294" s="1" t="s">
        <v>375</v>
      </c>
      <c r="E294" s="1" t="s">
        <v>2</v>
      </c>
      <c r="F294" s="1">
        <v>2</v>
      </c>
      <c r="G294" s="1">
        <v>113600</v>
      </c>
      <c r="H294" s="20">
        <v>227200</v>
      </c>
      <c r="I294" s="3" t="s">
        <v>69</v>
      </c>
    </row>
    <row r="295" spans="2:9" x14ac:dyDescent="0.25">
      <c r="B295" s="1" t="s">
        <v>291</v>
      </c>
      <c r="C295" s="2">
        <v>46165.328842592593</v>
      </c>
      <c r="D295" s="1" t="s">
        <v>375</v>
      </c>
      <c r="E295" s="1" t="s">
        <v>4</v>
      </c>
      <c r="F295" s="1">
        <v>2</v>
      </c>
      <c r="G295" s="1">
        <v>215100</v>
      </c>
      <c r="H295" s="20">
        <v>430200</v>
      </c>
      <c r="I295" s="3" t="s">
        <v>69</v>
      </c>
    </row>
    <row r="296" spans="2:9" x14ac:dyDescent="0.25">
      <c r="B296" s="1" t="s">
        <v>291</v>
      </c>
      <c r="C296" s="2">
        <v>46165.331574074073</v>
      </c>
      <c r="D296" s="1" t="s">
        <v>376</v>
      </c>
      <c r="E296" s="1" t="s">
        <v>2</v>
      </c>
      <c r="F296" s="1">
        <v>2</v>
      </c>
      <c r="G296" s="1">
        <v>113600</v>
      </c>
      <c r="H296" s="20">
        <v>227200</v>
      </c>
      <c r="I296" s="3" t="s">
        <v>3</v>
      </c>
    </row>
    <row r="297" spans="2:9" x14ac:dyDescent="0.25">
      <c r="B297" s="1" t="s">
        <v>291</v>
      </c>
      <c r="C297" s="2">
        <v>46165.331574074073</v>
      </c>
      <c r="D297" s="1" t="s">
        <v>376</v>
      </c>
      <c r="E297" s="1" t="s">
        <v>4</v>
      </c>
      <c r="F297" s="1">
        <v>2</v>
      </c>
      <c r="G297" s="1">
        <v>215100</v>
      </c>
      <c r="H297" s="20">
        <v>430200</v>
      </c>
      <c r="I297" s="3" t="s">
        <v>3</v>
      </c>
    </row>
    <row r="298" spans="2:9" x14ac:dyDescent="0.25">
      <c r="B298" s="1" t="s">
        <v>291</v>
      </c>
      <c r="C298" s="2">
        <v>46165.312349537038</v>
      </c>
      <c r="D298" s="1" t="s">
        <v>374</v>
      </c>
      <c r="E298" s="1" t="s">
        <v>2</v>
      </c>
      <c r="F298" s="1">
        <v>1</v>
      </c>
      <c r="G298" s="1">
        <v>113600</v>
      </c>
      <c r="H298" s="20">
        <v>113600</v>
      </c>
      <c r="I298" s="3" t="s">
        <v>69</v>
      </c>
    </row>
    <row r="299" spans="2:9" x14ac:dyDescent="0.25">
      <c r="B299" s="1" t="s">
        <v>291</v>
      </c>
      <c r="C299" s="2">
        <v>46165.312349537038</v>
      </c>
      <c r="D299" s="1" t="s">
        <v>374</v>
      </c>
      <c r="E299" s="1" t="s">
        <v>4</v>
      </c>
      <c r="F299" s="1">
        <v>3</v>
      </c>
      <c r="G299" s="1">
        <v>215100</v>
      </c>
      <c r="H299" s="20">
        <v>645300</v>
      </c>
      <c r="I299" s="3" t="s">
        <v>69</v>
      </c>
    </row>
    <row r="300" spans="2:9" x14ac:dyDescent="0.25">
      <c r="B300" s="1" t="s">
        <v>291</v>
      </c>
      <c r="C300" s="2">
        <v>46165.329409722224</v>
      </c>
      <c r="D300" s="1" t="s">
        <v>371</v>
      </c>
      <c r="E300" s="1" t="s">
        <v>4</v>
      </c>
      <c r="F300" s="1">
        <v>1</v>
      </c>
      <c r="G300" s="1">
        <v>215100</v>
      </c>
      <c r="H300" s="20">
        <v>215100</v>
      </c>
      <c r="I300" s="3" t="s">
        <v>69</v>
      </c>
    </row>
    <row r="301" spans="2:9" x14ac:dyDescent="0.25">
      <c r="H301" s="21"/>
    </row>
    <row r="302" spans="2:9" x14ac:dyDescent="0.25">
      <c r="H302" s="5"/>
    </row>
    <row r="303" spans="2:9" ht="15.75" thickBot="1" x14ac:dyDescent="0.3">
      <c r="H303" s="5"/>
    </row>
    <row r="304" spans="2:9" x14ac:dyDescent="0.25">
      <c r="C304" s="38"/>
      <c r="D304" s="12" t="s">
        <v>194</v>
      </c>
      <c r="E304" s="12"/>
      <c r="F304" s="22" t="s">
        <v>420</v>
      </c>
      <c r="G304" s="23"/>
      <c r="H304" s="15" t="s">
        <v>410</v>
      </c>
      <c r="I304" s="10"/>
    </row>
    <row r="305" spans="3:11" x14ac:dyDescent="0.25">
      <c r="C305" s="39"/>
      <c r="D305" s="9" t="s">
        <v>192</v>
      </c>
      <c r="E305" s="8" t="s">
        <v>195</v>
      </c>
      <c r="F305" s="24" t="s">
        <v>192</v>
      </c>
      <c r="G305" s="25" t="s">
        <v>195</v>
      </c>
      <c r="H305" s="16" t="s">
        <v>192</v>
      </c>
      <c r="I305" s="3" t="s">
        <v>193</v>
      </c>
      <c r="J305" s="4"/>
    </row>
    <row r="306" spans="3:11" x14ac:dyDescent="0.25">
      <c r="C306" s="39" t="s">
        <v>65</v>
      </c>
      <c r="D306" s="1"/>
      <c r="E306" s="13"/>
      <c r="F306" s="26"/>
      <c r="G306" s="30"/>
      <c r="H306" s="10"/>
      <c r="I306" s="6"/>
      <c r="J306" s="5"/>
    </row>
    <row r="307" spans="3:11" x14ac:dyDescent="0.25">
      <c r="C307" s="1" t="s">
        <v>66</v>
      </c>
      <c r="D307" s="1">
        <v>178</v>
      </c>
      <c r="E307" s="13">
        <v>20153600</v>
      </c>
      <c r="F307" s="26">
        <v>144</v>
      </c>
      <c r="G307" s="30">
        <v>16273600</v>
      </c>
      <c r="H307" s="10">
        <f>SUM(D307+F307)</f>
        <v>322</v>
      </c>
      <c r="I307" s="6">
        <f>SUM(E307+G307)</f>
        <v>36427200</v>
      </c>
      <c r="J307" s="5"/>
    </row>
    <row r="308" spans="3:11" x14ac:dyDescent="0.25">
      <c r="C308" s="1" t="s">
        <v>67</v>
      </c>
      <c r="D308" s="1">
        <v>214</v>
      </c>
      <c r="E308" s="13">
        <v>45731400</v>
      </c>
      <c r="F308" s="26">
        <v>347</v>
      </c>
      <c r="G308" s="30">
        <v>74639700</v>
      </c>
      <c r="H308" s="10">
        <f>SUM(D308+F308)</f>
        <v>561</v>
      </c>
      <c r="I308" s="6">
        <f>SUM(E308+G308)</f>
        <v>120371100</v>
      </c>
      <c r="J308" s="5"/>
    </row>
    <row r="309" spans="3:11" x14ac:dyDescent="0.25">
      <c r="C309" s="1"/>
      <c r="D309" s="1"/>
      <c r="E309" s="13"/>
      <c r="F309" s="26"/>
      <c r="G309" s="30"/>
      <c r="H309" s="10"/>
      <c r="I309" s="1"/>
    </row>
    <row r="310" spans="3:11" ht="15.75" thickBot="1" x14ac:dyDescent="0.3">
      <c r="C310" s="1"/>
      <c r="D310" s="1">
        <f>SUM(D307:D308)</f>
        <v>392</v>
      </c>
      <c r="E310" s="14">
        <f>SUM(E306:E308)</f>
        <v>65885000</v>
      </c>
      <c r="F310" s="27">
        <f>SUM(F306:F308)</f>
        <v>491</v>
      </c>
      <c r="G310" s="31">
        <f>SUM(G306:G308)</f>
        <v>90913300</v>
      </c>
      <c r="H310" s="18">
        <f>SUM(H306:H308)</f>
        <v>883</v>
      </c>
      <c r="I310" s="6">
        <f>SUM(I306:I309)</f>
        <v>156798300</v>
      </c>
    </row>
    <row r="313" spans="3:11" x14ac:dyDescent="0.25">
      <c r="K313" t="s">
        <v>441</v>
      </c>
    </row>
    <row r="314" spans="3:11" x14ac:dyDescent="0.25">
      <c r="C314" s="36" t="s">
        <v>440</v>
      </c>
    </row>
    <row r="315" spans="3:11" x14ac:dyDescent="0.25">
      <c r="C315" s="1" t="s">
        <v>424</v>
      </c>
      <c r="D315" s="1" t="s">
        <v>425</v>
      </c>
      <c r="E315" s="1" t="s">
        <v>430</v>
      </c>
      <c r="F315" s="1" t="s">
        <v>428</v>
      </c>
      <c r="G315" s="1" t="s">
        <v>427</v>
      </c>
      <c r="H315" s="37" t="s">
        <v>426</v>
      </c>
      <c r="I315" s="10"/>
    </row>
    <row r="316" spans="3:11" x14ac:dyDescent="0.25">
      <c r="C316" s="1" t="s">
        <v>65</v>
      </c>
      <c r="D316" s="6">
        <v>110500</v>
      </c>
      <c r="E316" s="37">
        <f>SUM(D306)</f>
        <v>0</v>
      </c>
      <c r="F316" s="6">
        <f>SUM(D316*E316)</f>
        <v>0</v>
      </c>
      <c r="H316" s="37"/>
      <c r="I316" s="17"/>
    </row>
    <row r="317" spans="3:11" x14ac:dyDescent="0.25">
      <c r="C317" s="1" t="s">
        <v>66</v>
      </c>
      <c r="D317" s="6">
        <v>107500</v>
      </c>
      <c r="E317" s="37">
        <f>SUM(D307)</f>
        <v>178</v>
      </c>
      <c r="F317" s="6">
        <f>SUM(D317*E317)</f>
        <v>19135000</v>
      </c>
      <c r="G317" s="6">
        <f>SUM(E307)</f>
        <v>20153600</v>
      </c>
      <c r="H317" s="37"/>
      <c r="I317" s="17">
        <f>SUM(E307-F317)</f>
        <v>1018600</v>
      </c>
    </row>
    <row r="318" spans="3:11" x14ac:dyDescent="0.25">
      <c r="C318" s="1" t="s">
        <v>67</v>
      </c>
      <c r="D318" s="6">
        <v>201900</v>
      </c>
      <c r="E318" s="37">
        <f>SUM(D308)</f>
        <v>214</v>
      </c>
      <c r="F318" s="6">
        <f>SUM(D318*E318)</f>
        <v>43206600</v>
      </c>
      <c r="G318" s="6">
        <f>SUM(E308)</f>
        <v>45731400</v>
      </c>
      <c r="H318" s="37"/>
      <c r="I318" s="17">
        <f>SUM(E308-F318)</f>
        <v>2524800</v>
      </c>
    </row>
    <row r="319" spans="3:11" x14ac:dyDescent="0.25">
      <c r="G319" s="5"/>
    </row>
    <row r="320" spans="3:11" x14ac:dyDescent="0.25">
      <c r="G320" s="5">
        <f>SUM(G317:G318)</f>
        <v>65885000</v>
      </c>
      <c r="I320" s="11">
        <f>SUM(I317:I318)</f>
        <v>3543400</v>
      </c>
    </row>
    <row r="322" spans="3:9" x14ac:dyDescent="0.25">
      <c r="C322" s="36" t="s">
        <v>442</v>
      </c>
    </row>
    <row r="323" spans="3:9" x14ac:dyDescent="0.25">
      <c r="C323" s="1" t="s">
        <v>424</v>
      </c>
      <c r="D323" s="1" t="s">
        <v>425</v>
      </c>
      <c r="E323" s="1" t="s">
        <v>431</v>
      </c>
      <c r="F323" s="1" t="s">
        <v>428</v>
      </c>
      <c r="G323" s="1" t="s">
        <v>427</v>
      </c>
      <c r="H323" s="37" t="s">
        <v>429</v>
      </c>
      <c r="I323" s="10"/>
    </row>
    <row r="324" spans="3:9" x14ac:dyDescent="0.25">
      <c r="C324" s="1" t="s">
        <v>65</v>
      </c>
      <c r="D324" s="6">
        <v>110500</v>
      </c>
      <c r="F324" s="6"/>
      <c r="H324" s="37"/>
    </row>
    <row r="325" spans="3:9" x14ac:dyDescent="0.25">
      <c r="C325" s="1" t="s">
        <v>66</v>
      </c>
      <c r="D325" s="6">
        <v>107500</v>
      </c>
      <c r="E325" s="43">
        <f>SUM(F307)</f>
        <v>144</v>
      </c>
      <c r="F325" s="6">
        <f>SUM(D325*E325)</f>
        <v>15480000</v>
      </c>
      <c r="G325" s="6">
        <f>SUM(G307)</f>
        <v>16273600</v>
      </c>
      <c r="H325" s="37"/>
      <c r="I325" s="17">
        <f>SUM(G325-F325)</f>
        <v>793600</v>
      </c>
    </row>
    <row r="326" spans="3:9" x14ac:dyDescent="0.25">
      <c r="C326" s="1" t="s">
        <v>67</v>
      </c>
      <c r="D326" s="6">
        <v>201900</v>
      </c>
      <c r="E326" s="43">
        <f>SUM(F308)</f>
        <v>347</v>
      </c>
      <c r="F326" s="6">
        <f>SUM(D326*E326)</f>
        <v>70059300</v>
      </c>
      <c r="G326" s="6">
        <f>SUM(G308)</f>
        <v>74639700</v>
      </c>
      <c r="H326" s="37"/>
      <c r="I326" s="17">
        <f>SUM(G326-F326)</f>
        <v>4580400</v>
      </c>
    </row>
    <row r="328" spans="3:9" x14ac:dyDescent="0.25">
      <c r="I328" s="11">
        <f>SUM(I325:I326)</f>
        <v>5374000</v>
      </c>
    </row>
  </sheetData>
  <autoFilter ref="B3:I300" xr:uid="{51C00A2F-B446-40FF-8182-456897C1DA0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PENJ-ALL-SALES</vt:lpstr>
      <vt:lpstr>PROFIT ALL SALES</vt:lpstr>
      <vt:lpstr>JOSSY</vt:lpstr>
      <vt:lpstr>RAJU</vt:lpstr>
      <vt:lpstr>HAFID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graito1618@gmail.com</dc:creator>
  <cp:lastModifiedBy>graito1618@gmail.com</cp:lastModifiedBy>
  <dcterms:created xsi:type="dcterms:W3CDTF">2026-05-23T07:05:43Z</dcterms:created>
  <dcterms:modified xsi:type="dcterms:W3CDTF">2026-05-24T08:36:14Z</dcterms:modified>
</cp:coreProperties>
</file>